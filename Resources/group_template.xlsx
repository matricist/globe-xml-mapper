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jaewo\Desktop\work\mapper\Resources\"/>
    </mc:Choice>
  </mc:AlternateContent>
  <xr:revisionPtr revIDLastSave="0" documentId="13_ncr:1_{F29492CA-8145-47E8-8264-A6DAF779C8F2}" xr6:coauthVersionLast="47" xr6:coauthVersionMax="47" xr10:uidLastSave="{00000000-0000-0000-0000-000000000000}"/>
  <bookViews>
    <workbookView xWindow="-103" yWindow="-103" windowWidth="33120" windowHeight="18000" tabRatio="948" activeTab="4" xr2:uid="{00000000-000D-0000-FFFF-FFFF00000000}"/>
  </bookViews>
  <sheets>
    <sheet name="Group 작성요령" sheetId="33" r:id="rId1"/>
    <sheet name="국가별 계산" sheetId="9" r:id="rId2"/>
    <sheet name="국가별 계산 첨부" sheetId="34" r:id="rId3"/>
    <sheet name="적격국제해운부수소득" sheetId="24" r:id="rId4"/>
    <sheet name="추가세액 계산" sheetId="26" r:id="rId5"/>
    <sheet name="_META" sheetId="29" state="very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" i="26" l="1"/>
  <c r="I5" i="26" s="1"/>
  <c r="M30" i="26"/>
  <c r="L5" i="26"/>
  <c r="C5" i="26"/>
  <c r="N4" i="24" l="1"/>
  <c r="N6" i="24" s="1"/>
  <c r="O58" i="9"/>
  <c r="E27" i="9" s="1"/>
  <c r="O90" i="9"/>
  <c r="O104" i="9"/>
  <c r="O129" i="9"/>
  <c r="O80" i="9" s="1"/>
  <c r="O194" i="9"/>
  <c r="O84" i="9" l="1"/>
  <c r="L27" i="9" s="1"/>
  <c r="O27" i="9" s="1"/>
  <c r="O105" i="9"/>
  <c r="O106" i="9" s="1"/>
  <c r="O109" i="9" s="1"/>
</calcChain>
</file>

<file path=xl/sharedStrings.xml><?xml version="1.0" encoding="utf-8"?>
<sst xmlns="http://schemas.openxmlformats.org/spreadsheetml/2006/main" count="357" uniqueCount="334">
  <si>
    <r>
      <rPr>
        <b/>
        <sz val="11"/>
        <color theme="1"/>
        <rFont val="맑은 고딕"/>
        <family val="3"/>
        <charset val="129"/>
        <scheme val="minor"/>
      </rPr>
      <t>시트명</t>
    </r>
    <phoneticPr fontId="0" type="noConversion"/>
  </si>
  <si>
    <r>
      <rPr>
        <b/>
        <sz val="11"/>
        <color theme="1"/>
        <rFont val="맑은 고딕"/>
        <family val="3"/>
        <charset val="129"/>
        <scheme val="minor"/>
      </rPr>
      <t>항목번호</t>
    </r>
    <phoneticPr fontId="0" type="noConversion"/>
  </si>
  <si>
    <r>
      <rPr>
        <b/>
        <sz val="11"/>
        <color theme="1"/>
        <rFont val="맑은 고딕"/>
        <family val="3"/>
        <charset val="129"/>
        <scheme val="minor"/>
      </rPr>
      <t>항목명</t>
    </r>
    <phoneticPr fontId="0" type="noConversion"/>
  </si>
  <si>
    <r>
      <rPr>
        <b/>
        <sz val="11"/>
        <color theme="1"/>
        <rFont val="맑은 고딕"/>
        <family val="3"/>
        <charset val="129"/>
        <scheme val="minor"/>
      </rPr>
      <t>항목내용</t>
    </r>
    <phoneticPr fontId="0" type="noConversion"/>
  </si>
  <si>
    <r>
      <rPr>
        <b/>
        <sz val="11"/>
        <color theme="1"/>
        <rFont val="맑은 고딕"/>
        <family val="3"/>
        <charset val="129"/>
        <scheme val="minor"/>
      </rPr>
      <t>복수선택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</si>
  <si>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납세자번호, 납세자번호 유형, 발급국가를 컴마로 구분하여 기재
납세자번호 유형
GIR3001: Tax Identification Number
GIR3002: Functionally equivalent number
GIR3003: Agreed GIR designated number
GIR3004: Not required to be reported
발급국가 ISO3166-alpha2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</si>
  <si>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가능(컴마로 구분)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</si>
  <si>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ISO4217-alpha3 예시) KRW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</si>
  <si>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하위그룹 유형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</si>
  <si>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국가코드: ISO3166-alpha2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</si>
  <si>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3.1.2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</si>
  <si>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국가별 계산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</si>
  <si>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3.1.1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</si>
  <si>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국가명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</si>
  <si>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3.1.3</t>
    </r>
    <phoneticPr fontId="0" type="noConversion"/>
  </si>
  <si>
    <t>GIR1601: Constituent Entities
GIR1602: Minority-Owned Subgroup
GIR1603: Standalone MOCEs
GIR1604: Investment Entities
GIR1605: JV Group
GIR1606: Stateless Constituent Entity
GIR1607: Transitional CbCR Safe Harbour - Constituent Entities
GIR1608: Transitional CbCR Safe Harbour - JV Group
GIR1609: Transitional UTPR Safe Harbour</t>
  </si>
  <si>
    <r>
      <rPr>
        <sz val="11"/>
        <color theme="1"/>
        <rFont val="맑은 고딕"/>
        <family val="2"/>
        <charset val="129"/>
        <scheme val="minor"/>
      </rPr>
      <t>하위그룹의 최상위기업 납세자번호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</si>
  <si>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3.1.11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</si>
  <si>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국가별 선택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</si>
  <si>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ElectionsDifference와 KElectionsDifference를 세미콜론(;)으로 연결하여 작성합니다.</t>
    </r>
    <phoneticPr fontId="0" type="noConversion"/>
  </si>
  <si>
    <t>3. 글로벌최저한세 계산</t>
  </si>
  <si>
    <t>글로벌최저한세 계산 - 국가별 기재
신고구성기업은 글로벌최저한세 계산의 적용면제 및 제외가 적용되지 않는 각 국가별(또는 별도 계산이 필요한 하위그룹별)로 제6쪽부터 제25쪽까지를 작성합니다.</t>
  </si>
  <si>
    <t>3.1 국가별 글로벌최저한세 계산 기본사항</t>
  </si>
  <si>
    <t xml:space="preserve"> 1. 국가명</t>
  </si>
  <si>
    <t xml:space="preserve"> 2. 하위그룹 유형(있는 경우)</t>
  </si>
  <si>
    <t xml:space="preserve"> 3. 실효세율 및 추가세액 계산이 필요한 하위그룹의 최상위기업 납세자번호(있는 경우)</t>
  </si>
  <si>
    <t xml:space="preserve"> 4. 과세권이 있는 국가</t>
  </si>
  <si>
    <t xml:space="preserve"> 5. 실효세율</t>
  </si>
  <si>
    <t xml:space="preserve"> 6. 조정대상조세</t>
  </si>
  <si>
    <t xml:space="preserve"> 7. 순글로벌최저한세소득금액</t>
  </si>
  <si>
    <t xml:space="preserve"> 8. 실질기반제외소득금액</t>
  </si>
  <si>
    <t xml:space="preserve"> 9. 당기추가세액가산액</t>
  </si>
  <si>
    <t xml:space="preserve"> 10. 과세권 국가에 납부하는 추가세액</t>
  </si>
  <si>
    <t xml:space="preserve"> 11. 국가별 선택</t>
  </si>
  <si>
    <t xml:space="preserve"> 12.「국제조세조정에 관한 법률 시행령」 제111조에 따른 배분 후 당기법인세비용 합계</t>
  </si>
  <si>
    <t xml:space="preserve"> 13. 적격환급가능세액공제 또는 적격양도가능세액공제(법인세비용)</t>
  </si>
  <si>
    <t xml:space="preserve"> 14. 기타 세액공제(법인세비용)</t>
  </si>
  <si>
    <t xml:space="preserve"> 15. 이연법인세비용</t>
  </si>
  <si>
    <t xml:space="preserve"> 16. 적격환급가능세액공제 또는 적격양도가능세액공제(소득)</t>
  </si>
  <si>
    <t xml:space="preserve"> 17. 이월조정대상조세</t>
  </si>
  <si>
    <t xml:space="preserve"> 18. 최초적용연도에 대한 특례</t>
  </si>
  <si>
    <t>3.2 실효세율 계산</t>
  </si>
  <si>
    <t>3.2.1 실효세율</t>
  </si>
  <si>
    <t>a. 회계상 순이익(또는 순손실)</t>
  </si>
  <si>
    <t>b. 순글로벌최저한세소득</t>
  </si>
  <si>
    <t>c. 법인세비용</t>
  </si>
  <si>
    <t>d. 조정대상조세</t>
  </si>
  <si>
    <t>e. 실효세율</t>
  </si>
  <si>
    <t>3.2.1.1 글로벌최저한세소득ㆍ결손 계산</t>
  </si>
  <si>
    <t>1.「국제조세조정에 관한 법률」 제66조제4항부터 제7항까지의 규정에 따른 배분 후 회계상 순손익 합계(국가별 소재한 모든 구성기업)</t>
  </si>
  <si>
    <t>2. 조정사항</t>
  </si>
  <si>
    <t>순 조정금액</t>
  </si>
  <si>
    <t xml:space="preserve"> (a) 순조세비용의 가산(「국제조세조정에 관한 법률 시행규칙」 별표 1 제1호)</t>
  </si>
  <si>
    <t xml:space="preserve"> (b) 배당수익의 차감(「국제조세조정에 관한 법률 시행규칙」 별표 1 제2호)</t>
  </si>
  <si>
    <t xml:space="preserve"> (c) 지분손익의 조정(「국제조세조정에 관한 법률 시행규칙」 별표 1 제4호)</t>
  </si>
  <si>
    <t xml:space="preserve"> (d) 재평가손익의 조정(「국제조세조정에 관한 법률 시행규칙」 별표 1 제5호)</t>
  </si>
  <si>
    <t xml:space="preserve"> (e) 글로벌최저한세조직재편에 대한 특례(「국제조세조정에 관한 법률」 제76조 및 「국세조세조정에 관한 법률 시행령」 제129조)</t>
  </si>
  <si>
    <t xml:space="preserve"> (f) 비대칭외환손익의 조정(「국제조세조정에 관한 법률 시행규칙」 별표 1 제6호)</t>
  </si>
  <si>
    <t xml:space="preserve"> (g) 정책적 부인비용의 가산(「국제조세조정에 관한 법률 시행규칙」 별표 1 제3호)</t>
  </si>
  <si>
    <t xml:space="preserve"> (h) 전기 오류수정에 따른 조정(「국제조세조정에 관한 법률 시행규칙」 별표 1 제14호)</t>
  </si>
  <si>
    <t xml:space="preserve"> (i) 회계정책 변경에 따른 조정(「국제조세조정에 관한 법률 시행규칙」 별표 1 제14호)</t>
  </si>
  <si>
    <t xml:space="preserve"> (j) 연금손익의 조정(「국제조세조정에 관한 법률 시행규칙」 별표 1 제7호)</t>
  </si>
  <si>
    <t xml:space="preserve"> (k) 채무면제이익의 조정(「국제조세조정에 관한 법률 시행규칙」 별표 1 제11호)</t>
  </si>
  <si>
    <t xml:space="preserve"> (l) 주식기준보상비용의 조정(「국제조세조정에 관한 법률 시행규칙」 별표 1 제8호)</t>
  </si>
  <si>
    <t xml:space="preserve"> (m) 정상가격 및 동일가격 원칙의 적용에 따른 조정(「국제조세조정에 관한 법률 시행규칙」 별표 1 제17호)</t>
  </si>
  <si>
    <t xml:space="preserve"> (n) 적격환급가능세액공제 또는 적격양도가능세액공제 금액의 조정(「국제조세조정에 관한 법률 시행규칙」 별표 1 제12호 및 제13호)</t>
  </si>
  <si>
    <t xml:space="preserve"> (o) 실현주의의 적용에 따른 조정(「국제조세조정에 관한 법률 시행규칙」 별표 1 제16호)</t>
  </si>
  <si>
    <t xml:space="preserve"> (p) 총자산처분이익의 조정(「국제조세조정에 관한 법률 시행규칙」 별표 1 제10호)</t>
  </si>
  <si>
    <t xml:space="preserve"> (q) 그룹내부금융약정비용의 조정(「국제조세조정에 관한 법률 시행규칙」 별표 1 제9호)</t>
  </si>
  <si>
    <t xml:space="preserve"> (r) 구성기업 간 연결회계조정 결과의 반영에 따른 조정(「국제조세조정에 관한 법률 시행규칙」 별표 1 제15호)</t>
  </si>
  <si>
    <t xml:space="preserve"> (s) 보험계약자 관련 손익의 조정(「국제조세조정에 관한 법률 시행규칙」 별표 1 제18호)</t>
  </si>
  <si>
    <t xml:space="preserve"> (t) 그 밖의 기본자본 등에 대한 배당에 따른 조정(「국제조세조정에 관한 법률 시행규칙」 별표 1 제19호)</t>
  </si>
  <si>
    <t xml:space="preserve"> (u) 조직재편시 구성기업의 처리(「국제조세조정에 관한 법률 시행령」 제128조)</t>
  </si>
  <si>
    <t xml:space="preserve"> (v) 투과기업인 최종모기업에 대한 특례(「국제조세조정에 관한 법률」 제77조의2제2항 및 「국제조세조정에 관한 법률 시행령」 제133조)</t>
  </si>
  <si>
    <t xml:space="preserve"> (w) 배당공제제도를 적용받는 최종모기업에 대한 특례(「국제조세조정에 관한 법률」 제77조의2제1항 및 「국제조세조정에 관한 법률 시행령」 제132조)</t>
  </si>
  <si>
    <t xml:space="preserve"> (x) 과세분배방법 적용 선택에 따른 조정(「국제조세조정에 관한 법률」 제79조제6항 및 「국제조세조정에 관한 법률 시행령」 제137조)</t>
  </si>
  <si>
    <t xml:space="preserve"> (y) 국제해운소득ㆍ결손(「국제조세조정에 관한 법률」 제66조제3항 및 「국제조세조정에 관한 법률 시행령」 제106조)</t>
  </si>
  <si>
    <t xml:space="preserve"> (z) 구성기업 간 자산거래(「국제조세조정에 관한 법률 시행규칙」 제89조제4항 및 제6항)</t>
  </si>
  <si>
    <t>3. 해당 국가의 순글로벌최저한세소득</t>
  </si>
  <si>
    <t>3.2.1.2 조정대상조세 계산</t>
  </si>
  <si>
    <t>(a) 조정대상조세 합계</t>
  </si>
  <si>
    <t>1. 「국제조세조정에 관한 법률 시행령」 제111조에 따른 배분 후 당기법인세비용 합계</t>
  </si>
  <si>
    <t xml:space="preserve"> (a) 회계상 세전이익 계산에서 비용으로 계상된 대상조세(「국제조세조정에 관한 법률 시행령」 제110조제1호가목)</t>
  </si>
  <si>
    <t xml:space="preserve"> (b) 결손취급특례 선택에 따른 결손취급특례이연법인세 자산의 설정 또는 사용
     (「국제조세조정에 관한 법률」 제67조제4항 및 같은 법 시행령 제113조의3)</t>
  </si>
  <si>
    <t xml:space="preserve"> (c) 이전 사업연도에 대상조세 차감으로 처리되었던 불확실한 세무처리 항목 관련 대상조세의 당기 납부
     (「국제조세조정에 관한 법률 시행령」 제110조제1호나목)</t>
  </si>
  <si>
    <t xml:space="preserve"> (d) 당기법인세비용에서 차감된 적격환급가능세액공제 또는 적격양도가능세액공제(「국제조세조정에 관한 법률 시행령」 제110조제1호다목)</t>
  </si>
  <si>
    <t xml:space="preserve"> (e) 적격 소유지분에 의한 적격투과조세혜택(「국제조세조정에 관한 법률 시행규칙」 별표 1 제4호사목, 아목, 자목 및 차목)</t>
  </si>
  <si>
    <t xml:space="preserve"> (f) 글로벌최저한세소득ㆍ결손 계산에서 제외되는 소득에 대한 당기법인세비용(「국제조세조정에 관한 법률 시행령」 제110조제2호가목)</t>
  </si>
  <si>
    <t xml:space="preserve"> (g) 당기법인세비용의 감액으로 처리되지 않은 비적격환급가능세액공제, 비적격양도가능세액공제 또는 그 밖의 세액공제
     (「국제조세조정에 관한 법률 시행령」 제110조제2호나목 및 다목)</t>
  </si>
  <si>
    <t xml:space="preserve"> (h) 적격환급가능세액공제 및 적격양도가능세액공제를 제외한 대상조세 환급 및 세액공제로서 당기법인세비용 감액으로 처리되지 않은 금액
     (「국제조세조정에 관한 법률 시행령」 제110조제2호라목)</t>
  </si>
  <si>
    <t xml:space="preserve"> (i) 불확실한 세무처리 항목 관련 당기법인세비용(「국제조세조정에 관한 법률 시행령」 제110조제2호마목)</t>
  </si>
  <si>
    <t xml:space="preserve"> (j) 사업연도 종료일부터 3년 이내에 납부되지 않을 것으로 예상되는 당기법인세비용(「국제조세조정에 관한 법률 시행령」 제110조제2호바목)</t>
  </si>
  <si>
    <t xml:space="preserve"> (k) 신고 후 조정(「국제조세조정에 관한 법률」 제68조제1항 및 제2항)</t>
  </si>
  <si>
    <t xml:space="preserve"> (l) 총자산처분이익 조정 선택을 한 경우의 자산처분순손익 관련 대상조세(「국제조세조정에 관한 법률 시행규칙」 별표 1 제10호)</t>
  </si>
  <si>
    <t xml:space="preserve"> (m) 투과기업인 최종모기업의 대상조세 감액(「국제조세조정에 관한 법률 시행령」 제133조제3항 및 제4항)</t>
  </si>
  <si>
    <t xml:space="preserve"> (n) 배당공제제도 적용 최종모기업의 차감된 글로벌최저한세소득금액 관련 대상조세(「국제조세조정에 관한 법률 시행령」 제132조)</t>
  </si>
  <si>
    <t xml:space="preserve"> (o) 간주분배세액(「국제조세조정에 관한 법률 시행령」 제134조제7항)</t>
  </si>
  <si>
    <t xml:space="preserve"> (p) 과세분배방법 적용 선택(「국제조세조정에 관한 법률 시행령」 제137조)</t>
  </si>
  <si>
    <t xml:space="preserve"> (q) 총이연법인세조정금액(「국제조세조정에 관한 법률」 제67조제2항, 제3항 및 제7항)</t>
  </si>
  <si>
    <t xml:space="preserve"> (r) 글로벌최저한세소득ㆍ결손 계산에 포함되고 과세대상인 손익과 관련된 대상조세 증감액에 대응되는 것으로서 회계상 자본 또는 
    그 밖의 포괄손익에 계상된 것(「국제조세조정에 관한 법률 시행령」 제110조제3호나목)</t>
  </si>
  <si>
    <t xml:space="preserve"> (s) 이월조정대상조세 발생(「국제조세조정에 관한 법률 시행령」 제116조의2 및 제119조제3항)</t>
  </si>
  <si>
    <t xml:space="preserve"> (t) 이월조정대상조세 금액에 의한 조정대상조세 차감(‘0’을 한도로 한다)(「국제조세조정에 관한 법률 시행령」 제116조의2 및 119조제3항)</t>
  </si>
  <si>
    <t>3. 조정대상조세</t>
  </si>
  <si>
    <t>(b) 이월조정대상조세</t>
  </si>
  <si>
    <t xml:space="preserve"> 1. 이전 사업연도에서 이월된 잔액</t>
  </si>
  <si>
    <t xml:space="preserve"> 2. 신고대상 사업연도 이월조정대상조세 발생액</t>
  </si>
  <si>
    <t xml:space="preserve"> 3. 신고대상 사업연도 이월조정대상조세 사용액</t>
  </si>
  <si>
    <t xml:space="preserve"> 4. 다음 사업연도로 이월되는 이월조정대상조세 잔액</t>
  </si>
  <si>
    <t>(c) 통합형피지배외국법인과세제도 관련 계산(해당되는 경우)</t>
  </si>
  <si>
    <t>1. 피지배외국법인소재지국</t>
  </si>
  <si>
    <t>2. 하위그룹</t>
  </si>
  <si>
    <t>3. 통합형피지배외국법인과세제도에 따른 대상조세로서 해당 하위그룹에 배분된 금액 합계</t>
  </si>
  <si>
    <t>합계</t>
  </si>
  <si>
    <t>3.2.2 국가별 이연법인세회계 관련 계산</t>
  </si>
  <si>
    <t>3.2.2.1 이연법인세 조정</t>
  </si>
  <si>
    <t>(a) 요약표</t>
  </si>
  <si>
    <t>1. 재계산과 조정 전 글로벌최저한세 기준상 이연법인세비용(「국제조세조정에 관한 법률 시행령」 제112조제1항제1호)</t>
  </si>
  <si>
    <t>a. 회계 계정상 기록된 이연법인세비용</t>
  </si>
  <si>
    <t>b. 글로벌최저한세 기준으로 계산된 장부가액이 회계상 장부금액과 다른 자산 또는 부채와 관련된 이연법인세비용</t>
  </si>
  <si>
    <t xml:space="preserve">c. 글로벌최저한세 기준으로 계산된 자산 또는 부채의 장부가액에 기초한 이연법인세비용 </t>
  </si>
  <si>
    <t>d. 재계산과 조정 전 글로벌최저한세 기준으로 계산된 이연법인세비용</t>
  </si>
  <si>
    <t>2. 총조정금액</t>
  </si>
  <si>
    <t>3. 이연법인세비용을 최저한세율로 재계산</t>
  </si>
  <si>
    <t>e. 재계산 전 글로벌최저한세 기준으로 계산된 이연법인세비용</t>
  </si>
  <si>
    <t>f. 최저한세율보다 낮은 세율로 계산된 이연법인세비용과 최저한세율로 재계산된 이연법인세비용 차이</t>
  </si>
  <si>
    <t>g. 최저한세율보다 높은 세율로 계산된 이연법인세비용과 최저한세율로 재계산된 이연법인세비용 차이</t>
  </si>
  <si>
    <t>4. 총이연법인세조정금액</t>
  </si>
  <si>
    <t>(b) 조정내역</t>
  </si>
  <si>
    <t>1. 이연법인세비용의 조정</t>
  </si>
  <si>
    <t xml:space="preserve"> (a) 글로벌최저한세소득ㆍ결손 계산에서 제외되는 손익 항목 관련 이연법인세비용(「국제조세조정에 관한 법률 시행령」 제112조제1항제1호의2가목)</t>
  </si>
  <si>
    <t xml:space="preserve"> (b) 불확실한 세무처리항목에 따른 이연법인세비용 등(「국제조세조정에 관한 법률 시행령」 제112조제1항제1호의2다목 및 같은 법 시행규칙 제71조제5항)</t>
  </si>
  <si>
    <t xml:space="preserve"> (c) 미반영 선택 사항 관련 이연법인세비용[「국제조세조정에 관한 법률 시행령」 제112조제1항제1호의2나목4)]</t>
  </si>
  <si>
    <t xml:space="preserve"> (d) 이연법인세자산에 대한 평가 조정 또는 인식 조정[「국제조세조정에 관한 법률 시행령」 제112조제1항제1호의2나목1)]</t>
  </si>
  <si>
    <t xml:space="preserve"> (e) 법인세 세율 변동에 따른 재계산 관련 이연법인세비용[「국제조세조정에 관한 법률 시행령」 제112조제1항제1호의2나목2)]</t>
  </si>
  <si>
    <t xml:space="preserve"> (f) 이월 세액공제의 발생 또는 사용 관련 이연법인세비용[「국제조세조정에 관한 법률 시행령」 제112조제1항제1호의2나목3)]</t>
  </si>
  <si>
    <t xml:space="preserve"> (g) 국내원천결손 관련 대체이월결손금 이연법인세자산(「국제조세조정에 관한 법률 시행규칙」 제71조제1항부터 제3항까지)</t>
  </si>
  <si>
    <t xml:space="preserve"> (h) 이전 사업연도의 이연법인세 미반영 선택 사항에 대한 법인세로서 신고대상 사업연도에 환원된 금액(「국제조세조정에 관한 법률 시행령」 제112조제1항제2호가목)</t>
  </si>
  <si>
    <t xml:space="preserve"> (i) 이전 사업연도에 발생한 이연법인세부채환입액으로서 신고대상 사업연도에 환원된 금액(「국제조세조정에 관한 법률 시행령」 제112조제1항제2호나목)</t>
  </si>
  <si>
    <t xml:space="preserve"> (j) 회계상 인식 기준 미충족으로 계상되지 않은 신고대상 사업연도의 결손금에 대한 이연법인세자산의 인식(「국제조세조정에 관한 법률 시행령」 제112조제1항제3호)</t>
  </si>
  <si>
    <t xml:space="preserve"> (k) 세율 인하에 따른 이연법인세비용 조정(「국제조세조정에 관한 법률 시행령」 제116조제1호)</t>
  </si>
  <si>
    <t xml:space="preserve"> (l) 세율 인상에 따른 이연법인세비용 조정(「국제조세조정에 관한 법률 시행령」 제116조제2호)</t>
  </si>
  <si>
    <t xml:space="preserve"> (m) 조직재편시 다국적기업그룹의 구성기업으로 포함되거나 제외되는 경우(「국제조세조정에 관한 법률 시행규칙」 제80조)</t>
  </si>
  <si>
    <t xml:space="preserve"> (n) 투과기업인 최종모기업의 이연법인세비용(「국제조세조정에 관한 법률 시행령」 제133조)</t>
  </si>
  <si>
    <t xml:space="preserve"> (o) 배당공제제도 적용 최종모기업의 이연법인세비용(「국제조세조정에 관한 법률 시행령」 제132조)</t>
  </si>
  <si>
    <t xml:space="preserve"> (p) 구성기업 간 자산거래에 따른 이연법인세 조정(「국제조세조정에 관한 법률 시행규칙」 제89조제4항)</t>
  </si>
  <si>
    <t>2. 조정금액합계</t>
  </si>
  <si>
    <t>(c) 결손금 소급공제</t>
  </si>
  <si>
    <t>1. 결손금 소급공제로 인한 간주 이연법인세자산 금액</t>
  </si>
  <si>
    <r>
      <rPr>
        <sz val="9"/>
        <color rgb="FF000000"/>
        <rFont val="맑은 고딕"/>
        <family val="3"/>
        <charset val="129"/>
        <scheme val="minor"/>
      </rPr>
      <t>사업연도(일자)</t>
    </r>
    <phoneticPr fontId="0" type="noConversion"/>
  </si>
  <si>
    <t>2. 결손금 소급공제와 관련된 대상조세 환급액</t>
  </si>
  <si>
    <r>
      <rPr>
        <sz val="9"/>
        <color rgb="FF000000"/>
        <rFont val="맑은 고딕"/>
        <family val="3"/>
        <charset val="129"/>
        <scheme val="minor"/>
      </rPr>
      <t>합계</t>
    </r>
    <phoneticPr fontId="0" type="noConversion"/>
  </si>
  <si>
    <t>3.2.2.2 환입금액 계산</t>
  </si>
  <si>
    <t>(a) 이연법인세부채 환입 적용대상인 연간 이연법인세부채 금액</t>
  </si>
  <si>
    <t>1. 신고대상 사업연도 개시 전 다섯 번째 사업연도의 환입 적용대상 이연법인세부채 금액</t>
  </si>
  <si>
    <t>3. 신고대상 사업연도의 환입 적용대상 이연법인세부채 금액</t>
  </si>
  <si>
    <r>
      <rPr>
        <sz val="9"/>
        <color rgb="FF000000"/>
        <rFont val="맑은 고딕"/>
        <family val="3"/>
        <charset val="129"/>
        <scheme val="minor"/>
      </rPr>
      <t xml:space="preserve">2. 신고대상 사업연도 개시 전 다섯 번째 사업연도의 이연법인세부채 금액으로서 신고대상 사업연도에 환입되는 금액 </t>
    </r>
    <phoneticPr fontId="0" type="noConversion"/>
  </si>
  <si>
    <t>(b) 총 이연법인세부채 환입 계정</t>
  </si>
  <si>
    <t>구 분</t>
  </si>
  <si>
    <t>신고대상 사업연도</t>
  </si>
  <si>
    <t>직전 사업연도</t>
  </si>
  <si>
    <t>a. 「국제조세조정에 관한 법률 시행령」 제113조의2 및 같은 법 시행규칙 제74조의2제5항
   제3호에 따른 최초적용연도 개시 전 발생한 이연법인세부채로서 환원되지 않고 남아
   있는 것으로 보는 금액</t>
  </si>
  <si>
    <t xml:space="preserve">b. 「국제조세조정에 관한 법률 시행령」 제113조의2제1항에 따른 해당 사업연도 종료일 현재
   이연법인세부채 금액 </t>
  </si>
  <si>
    <t>c. 「국제조세조정에 관한 법률 시행령」 제113조의2제1항에 따른 비적격잔액 금액</t>
  </si>
  <si>
    <t>3.2.2.3 최초적용연도에 대한 특례</t>
  </si>
  <si>
    <t>1. 최초적용연도</t>
  </si>
  <si>
    <t>(a)「국제조세조정에 관한 법률」 제81조 및 같은 법 시행령 제139조 적용</t>
  </si>
  <si>
    <t>이 연 법 인 세 부 채</t>
  </si>
  <si>
    <t>1. 최초적용연도 개시일의 이연법인세부채</t>
  </si>
  <si>
    <t>2. 최저한세율로 재계산한 이연법인세부채(해당되는 경우)</t>
  </si>
  <si>
    <t>이 연 법 인 세 자 산</t>
  </si>
  <si>
    <t>4. 최저한세율로 재계산한 이연법인세자산
(해당되는 경우)</t>
  </si>
  <si>
    <r>
      <rPr>
        <sz val="9"/>
        <color rgb="FF000000"/>
        <rFont val="맑은 고딕"/>
        <family val="3"/>
        <charset val="129"/>
        <scheme val="minor"/>
      </rPr>
      <t>3. 최초적용연도 개시일의
이연법인세자산</t>
    </r>
    <phoneticPr fontId="0" type="noConversion"/>
  </si>
  <si>
    <t>6. 글로벌최저한세 목적상 산입되는 
이연법인세자산</t>
  </si>
  <si>
    <r>
      <rPr>
        <sz val="9"/>
        <color rgb="FF000000"/>
        <rFont val="맑은 고딕"/>
        <family val="3"/>
        <charset val="129"/>
        <scheme val="minor"/>
      </rPr>
      <t>5.「국제조세조정에 관한 법률 시행규칙」 제89조에
따라 제외되는 이연법인세자산</t>
    </r>
    <phoneticPr fontId="0" type="noConversion"/>
  </si>
  <si>
    <t>(b) 「국제조세조정에 관한 법률 시행규칙」 제89조의 적용</t>
  </si>
  <si>
    <t>2. 해당 자산거래 관련
납부세액</t>
  </si>
  <si>
    <r>
      <rPr>
        <sz val="9"/>
        <color rgb="FF000000"/>
        <rFont val="맑은 고딕"/>
        <family val="3"/>
        <charset val="129"/>
        <scheme val="minor"/>
      </rPr>
      <t>1. 처분기업 소재지국</t>
    </r>
    <phoneticPr fontId="0" type="noConversion"/>
  </si>
  <si>
    <t>3. 해당 자산 처분구성기업의 회계상
반영된 순이연법인세자산(또는 부채)</t>
  </si>
  <si>
    <t>4. 글로벌최저한세 목적상 해당
이전된 자산의 장부가액</t>
  </si>
  <si>
    <t>5. 글로벌최저한세 목적상 취득구성기업의 해당 자산
관련 순이연법인세자산(또는 부채)</t>
  </si>
  <si>
    <t>3.2.3 국가별 선택(해당되는 경우)</t>
  </si>
  <si>
    <t>3.2.3.1 국가별 선택(「국제조세조정에 관한 법률」 제78조에 따른 적격분배과세제도 특례 외)</t>
  </si>
  <si>
    <t>(a) 선택 내역</t>
  </si>
  <si>
    <t>1. 매년 선택</t>
  </si>
  <si>
    <t xml:space="preserve"> a. 총자산처분이익 조정 선택(「국제조세조정에 관한 법률 시행규칙」 별표 1 제10호)</t>
  </si>
  <si>
    <t xml:space="preserve"> b. 대상조세의 경미한 감액에 대한 경정사업연도 반영 선택(「국제조세조정에 관한 법률」 제68조제2항)</t>
  </si>
  <si>
    <t xml:space="preserve"> c. 실질기반제외소득 미적용 선택(「국제조세조정에 관한 법률 시행규칙」 제75조제14항)</t>
  </si>
  <si>
    <t xml:space="preserve"> d. 이월조정대상조세 처리 선택(「국제조세조정에 관한 법률 시행령」 제119조제3항)</t>
  </si>
  <si>
    <t>2. 5년 선택</t>
  </si>
  <si>
    <t>3. 선택 사업연도</t>
  </si>
  <si>
    <t>4. 취소 사업연도</t>
  </si>
  <si>
    <t xml:space="preserve"> e. 지분투자손익포함 선택(「국제조세조정에 관한 법률 시행규칙」 별표 1 제4호라목)</t>
  </si>
  <si>
    <t xml:space="preserve"> f. 주식기준보상비용 세무조정 선택(「국제조세조정에 관한 법률 시행규칙」 별표 1 제8호)</t>
  </si>
  <si>
    <t xml:space="preserve"> g. 실현주의 적용 선택(「국제조세조정에 관한 법률 시행규칙」 별표 1 제16호)</t>
  </si>
  <si>
    <t xml:space="preserve"> h. 구성기업 간 연결회계조정 결과의 반영에 따른 조정 선택(「국제조세조정에 관한 법률 시행규칙」 별표 1 제15호)</t>
  </si>
  <si>
    <t xml:space="preserve"> i. 국가간 이연법인세비용 미배분 적용 선택(「국제조세조정에 관한 법률 시행령」 제111조제3항 및 제4항)</t>
  </si>
  <si>
    <t>5. 그 밖의 선택</t>
  </si>
  <si>
    <t>6. 선택 사업연도</t>
  </si>
  <si>
    <t>7. 취소 사업연도</t>
  </si>
  <si>
    <t xml:space="preserve"> j. 결손취급특례 선택(「국제조세조정에 관한 법률」 제67조제4항 및 같은 법 시행령 제113조의3)</t>
  </si>
  <si>
    <t xml:space="preserve"> (b) 국가별 선택과 관련된 필요정보</t>
  </si>
  <si>
    <t xml:space="preserve"> 1. 지분투자손익포함선택에 따른 지분손익 산입 </t>
  </si>
  <si>
    <t xml:space="preserve"> 2. 적격소유지분에 대한 투자가액의 이전 사업연도 잔액</t>
  </si>
  <si>
    <t xml:space="preserve"> 3. 적격소유지분에 대한 투자가액의 증액</t>
  </si>
  <si>
    <t xml:space="preserve"> 4. 적격소유지분에 대한 투자가액의 감액</t>
  </si>
  <si>
    <t xml:space="preserve"> 5. 적격소유지분에 대한 투자가액 잔액</t>
  </si>
  <si>
    <t>3.2.3.2 「국제조세조정에 관한 법률」 제78조에 따른 선택</t>
  </si>
  <si>
    <t xml:space="preserve"> 1. 간주분배세액 선택(「국제조세조정에 관한 법률」 제78조제1항)</t>
  </si>
  <si>
    <t>(a) 같은 법 시행령 제134조제2항, 같은 조 제4항부터 제8항까지 및 같은 법 시행규칙 제83조제1항에 따른 간주분배세액환입계정의 운용 방법 등</t>
  </si>
  <si>
    <t>1. 사업연도</t>
  </si>
  <si>
    <t>2. 간주분배세액결정 
(「국제조세조정에 관한 법률
시행령」 제134조제2항)</t>
  </si>
  <si>
    <t>3. 간주분배세액 환입계정</t>
  </si>
  <si>
    <t>4. 간주분배세액 환입계정 잔액</t>
  </si>
  <si>
    <t>직전 3년차 사업연도</t>
  </si>
  <si>
    <t>직전 전 사업연도</t>
  </si>
  <si>
    <t>직전 4년차</t>
  </si>
  <si>
    <t>직전 3년차</t>
  </si>
  <si>
    <t>해당없음</t>
  </si>
  <si>
    <t>직전 2년차</t>
  </si>
  <si>
    <t>직전연도</t>
  </si>
  <si>
    <t>(b) 간주분배세액 선택 구성기업의 이탈 등에 대한 「국제조세조정에 관한 법률 시행규칙」 제83조제2항부터 제4항까지의 적용</t>
  </si>
  <si>
    <t>1. 이전 사업연도 조정대상조세 감액</t>
  </si>
  <si>
    <t>2. 추가세액 재계산에 따른 추가세액 증가액</t>
  </si>
  <si>
    <t>3. 처분환입비율</t>
  </si>
  <si>
    <t>(b) 적격국제해운부수소득ㆍ결손에 대한 국가별 한도</t>
  </si>
  <si>
    <t xml:space="preserve"> 1. 모든 구성기업 또는 공동기업그룹 기업의 국제해운소득ㆍ결손 합계</t>
  </si>
  <si>
    <t xml:space="preserve"> 2. 50% 한도</t>
  </si>
  <si>
    <t xml:space="preserve"> 3. 모든 구성기업 또는 공동기업그룹 기업의 적격국제해운부수소득ㆍ결손 합계</t>
  </si>
  <si>
    <t xml:space="preserve"> 4. B가 A의 50%를 넘는 경우의 한도 초과액</t>
  </si>
  <si>
    <t>3.3 추가세액 계산</t>
  </si>
  <si>
    <t>3.3.1 추가세액</t>
  </si>
  <si>
    <t>a. 추가세액비율</t>
  </si>
  <si>
    <t>b. 실질기반제외소득</t>
  </si>
  <si>
    <t>c. 초과이익</t>
  </si>
  <si>
    <t>d. 당기추가세액가산액</t>
  </si>
  <si>
    <t>e. 적격소재국추가세액</t>
  </si>
  <si>
    <t>f. 추가세액</t>
  </si>
  <si>
    <t>3.3.2 실질기반제외소득의 계산(해당되는 경우)</t>
  </si>
  <si>
    <t>3.3.2.1 실질기반제외소득 합계</t>
  </si>
  <si>
    <t>인건비 제외금액</t>
  </si>
  <si>
    <t>유형자산 제외금액</t>
  </si>
  <si>
    <t>1. 적격종업원에 관한 해당기업
소재지국의 적격인건비</t>
  </si>
  <si>
    <t>2. 신고대상 사업연도에
적용되는 반영 비율</t>
  </si>
  <si>
    <t>3. 적격유형자산에 관한 해당기업
소재지국의 장부가액</t>
  </si>
  <si>
    <t>4. 신고대상 사업연도에 적용되는
반영 비율</t>
  </si>
  <si>
    <t xml:space="preserve">5. 실질기반제외소득 </t>
  </si>
  <si>
    <t>3.3.2.2 실질기반제외소득 계산 목적상 적격인건비 및 적격유형자산 장부가액의 고정사업장 배분</t>
  </si>
  <si>
    <t>1. 적격인건비</t>
  </si>
  <si>
    <t>2. 적격유형자산 장부가액</t>
  </si>
  <si>
    <t>3. 고정사업장 소재지국</t>
  </si>
  <si>
    <t>4. 고정사업장에 배분된 적격인건비</t>
  </si>
  <si>
    <t>5. 고정사업장에 배분된 적격유형자산 장부가액</t>
  </si>
  <si>
    <t>3.3.2.3 실질기반제외소득 계산 목적상 투과기업의 적격인건비 및 적격유형자산 장부가액의 배분</t>
  </si>
  <si>
    <t>3. 주주구성기업 (또는 주주인 
공동기업그룹 기업) 소재지국</t>
  </si>
  <si>
    <t>4. 주주구성기업 (또는 주주인 공동
기업그룹 기업)에 배분된 적격
인건비 (또는 실질기반제외소득
 계산에서 제외되는 금액)</t>
  </si>
  <si>
    <t>5. 주주구성기업 (또는 주주인 공동기업그룹 기업)에
배분된 적격유형자산 장부가액 (또는 
실질기반제외소득 계산에서 제외되는 금액)</t>
  </si>
  <si>
    <t>3.3.3 당기추가세액가산액</t>
  </si>
  <si>
    <t>3.3.3.1 「국제조세조정에 관한 법률 시행령」 제119조제2항 외의 당기추가세액가산액</t>
  </si>
  <si>
    <t>1. 관련 근거</t>
  </si>
  <si>
    <t>2. 관련 사업연도</t>
  </si>
  <si>
    <t xml:space="preserve">3. 당초신고 또는
재계산 </t>
  </si>
  <si>
    <t>4. 순글로벌최저한세
소득ㆍ결손</t>
  </si>
  <si>
    <t>5. 조정대상조세</t>
  </si>
  <si>
    <t>6. 실효세율</t>
  </si>
  <si>
    <t>7. 초과 이익</t>
  </si>
  <si>
    <t>8. 추가세액
   비율(%)</t>
  </si>
  <si>
    <t>9. 추가세액</t>
  </si>
  <si>
    <t>10. 당기추가세액
가산액</t>
  </si>
  <si>
    <t>이전 사업연도</t>
  </si>
  <si>
    <t xml:space="preserve"> a. 당초신고</t>
  </si>
  <si>
    <t xml:space="preserve"> b. 재계산</t>
  </si>
  <si>
    <t>3.3.3.2 「국제조세조정에 관한 법률 시행령」 제119조제2항에 따른 당기추가세액가산액</t>
  </si>
  <si>
    <t xml:space="preserve"> 1. 소재지국 조정대상조세(음수)</t>
  </si>
  <si>
    <t xml:space="preserve"> 2. 소재지국 순글로벌최저한세결손</t>
  </si>
  <si>
    <t xml:space="preserve"> 3. 조정대상조세 예상액</t>
  </si>
  <si>
    <t xml:space="preserve"> 4. 당기추가세액가산액</t>
  </si>
  <si>
    <t>3.3.4 적격소재국추가세액</t>
  </si>
  <si>
    <t xml:space="preserve"> 1. 회계기준</t>
  </si>
  <si>
    <t xml:space="preserve"> 2. 적격소재국추가세액</t>
  </si>
  <si>
    <t xml:space="preserve"> 3. 적격소재국추가세제도 최저한세율(15%보다 높은 경우) </t>
  </si>
  <si>
    <t xml:space="preserve"> 4. 실효세율 계산을 위한 소득 및 세금 합산 기준(글로벌최저한세 규칙과 다른 경우)</t>
  </si>
  <si>
    <t xml:space="preserve"> 5. 사용 통화(연결재무제표 작성 통화와 다른 경우)</t>
  </si>
  <si>
    <t xml:space="preserve"> 6. 연결재무제표 작성 통화 또는 현지통화 사용 여부 5년선택</t>
  </si>
  <si>
    <t>통화</t>
  </si>
  <si>
    <t>선택 사업연도</t>
  </si>
  <si>
    <t>취소 사업연도</t>
  </si>
  <si>
    <t xml:space="preserve"> 7. 실질기반제외소득 적용가능 여부 </t>
  </si>
  <si>
    <t xml:space="preserve"> 8. 최소적용제외 특례 적용가능 여부</t>
  </si>
  <si>
    <t>key</t>
  </si>
  <si>
    <t>value</t>
  </si>
  <si>
    <t>sheet:1.1~1.2</t>
  </si>
  <si>
    <t>1.1~1.2</t>
  </si>
  <si>
    <t>sheet:1.3.1</t>
  </si>
  <si>
    <t>1.3.1</t>
  </si>
  <si>
    <t>sheet:1.3.2.1</t>
  </si>
  <si>
    <t>1.3.2.1</t>
  </si>
  <si>
    <t>sheet:1.3.2.2</t>
  </si>
  <si>
    <t>1.3.2.2</t>
  </si>
  <si>
    <t>sheet:1.3.3</t>
  </si>
  <si>
    <t>1.3.3</t>
  </si>
  <si>
    <t>sheet:1.4</t>
  </si>
  <si>
    <t>1.4</t>
  </si>
  <si>
    <t>blockCount:1.3.1</t>
  </si>
  <si>
    <t>blockCount:1.3.2.1</t>
  </si>
  <si>
    <t>blockCount:1.3.2.2</t>
  </si>
  <si>
    <t>blockCount:1.3.3</t>
  </si>
  <si>
    <t>blockCount:1.4</t>
  </si>
  <si>
    <t>sheet:2</t>
  </si>
  <si>
    <t>2</t>
  </si>
  <si>
    <t>fileType</t>
  </si>
  <si>
    <t>group</t>
  </si>
  <si>
    <t>□</t>
  </si>
  <si>
    <t>첨부</t>
    <phoneticPr fontId="2" type="noConversion"/>
  </si>
  <si>
    <t>과세권이 있는 국가</t>
    <phoneticPr fontId="2" type="noConversion"/>
  </si>
  <si>
    <t>실효세율</t>
    <phoneticPr fontId="2" type="noConversion"/>
  </si>
  <si>
    <t>조정대상조세</t>
    <phoneticPr fontId="2" type="noConversion"/>
  </si>
  <si>
    <t>순글로벌최저한세소득금액</t>
    <phoneticPr fontId="2" type="noConversion"/>
  </si>
  <si>
    <t>실질기반제외소득금액</t>
    <phoneticPr fontId="2" type="noConversion"/>
  </si>
  <si>
    <t>당기추가세액가산액</t>
    <phoneticPr fontId="2" type="noConversion"/>
  </si>
  <si>
    <t>과세권 국가에 납부하는 추가세액</t>
    <phoneticPr fontId="2" type="noConversion"/>
  </si>
  <si>
    <t>당기법인세비용 합계</t>
    <phoneticPr fontId="2" type="noConversion"/>
  </si>
  <si>
    <t>적격환급가능세액공제 법인세비용</t>
    <phoneticPr fontId="2" type="noConversion"/>
  </si>
  <si>
    <t>기타 세액공제 법인세비용</t>
    <phoneticPr fontId="2" type="noConversion"/>
  </si>
  <si>
    <t>이연법인세비용</t>
    <phoneticPr fontId="2" type="noConversion"/>
  </si>
  <si>
    <t>적격환급가능세액공제 소득</t>
    <phoneticPr fontId="2" type="noConversion"/>
  </si>
  <si>
    <t>이월조정대상조세</t>
    <phoneticPr fontId="2" type="noConversion"/>
  </si>
  <si>
    <t>최초적용연도 특례</t>
    <phoneticPr fontId="2" type="noConversion"/>
  </si>
  <si>
    <t>추가세액 계산</t>
    <phoneticPr fontId="2" type="noConversion"/>
  </si>
  <si>
    <t>3.3.3.1</t>
    <phoneticPr fontId="2" type="noConversion"/>
  </si>
  <si>
    <t>관련 근거</t>
    <phoneticPr fontId="2" type="noConversion"/>
  </si>
  <si>
    <t>3.3.4.6</t>
    <phoneticPr fontId="2" type="noConversion"/>
  </si>
  <si>
    <t>통화</t>
    <phoneticPr fontId="2" type="noConversion"/>
  </si>
  <si>
    <t>GIR2601: Article 3.2.6
GIR2602: Article 4.4.4
GIR2603: Article 4.6.1
GIR2604: Article 4.6.4
GIR2605: Article 7.3.5
GIR2606: Article 7.3.7</t>
  </si>
  <si>
    <t>국가별 선택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</si>
</sst>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&quot;△&quot;#,##0_)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맑은 고딕"/>
      <family val="2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>
      <alignment vertical="center"/>
    </xf>
    <xf numFmtId="0" fontId="1" fillId="0" borderId="0"/>
    <xf numFmtId="9" fontId="8" fillId="0" borderId="0">
      <alignment vertical="center"/>
    </xf>
  </cellStyleXfs>
  <cellXfs count="136">
    <xf numFmtId="0" fontId="0" fillId="0" borderId="0" xfId="0">
      <alignment vertical="center"/>
    </xf>
    <xf numFmtId="0" fontId="4" fillId="0" borderId="0" xfId="0" applyFont="1">
      <alignment vertical="center"/>
    </xf>
    <xf numFmtId="0" fontId="0" fillId="0" borderId="0" xfId="0" applyAlignment="1"/>
    <xf numFmtId="0" fontId="3" fillId="0" borderId="2" xfId="0" applyFont="1" applyBorder="1">
      <alignment vertical="center"/>
    </xf>
    <xf numFmtId="0" fontId="6" fillId="0" borderId="0" xfId="0" applyFont="1">
      <alignment vertical="center"/>
    </xf>
    <xf numFmtId="176" fontId="6" fillId="0" borderId="4" xfId="0" applyNumberFormat="1" applyFont="1" applyBorder="1" applyAlignment="1">
      <alignment horizontal="right" vertical="center" shrinkToFi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justify" vertical="center" wrapText="1"/>
    </xf>
    <xf numFmtId="0" fontId="3" fillId="0" borderId="11" xfId="0" applyFont="1" applyBorder="1" applyAlignment="1">
      <alignment horizontal="center" vertical="center" wrapText="1"/>
    </xf>
    <xf numFmtId="10" fontId="3" fillId="0" borderId="2" xfId="2" applyNumberFormat="1" applyFont="1" applyBorder="1" applyAlignment="1">
      <alignment horizontal="center" vertical="center"/>
    </xf>
    <xf numFmtId="10" fontId="6" fillId="0" borderId="4" xfId="2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0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11" fillId="0" borderId="0" xfId="0" applyFont="1">
      <alignment vertical="center"/>
    </xf>
    <xf numFmtId="0" fontId="6" fillId="0" borderId="14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0" fillId="0" borderId="4" xfId="0" applyBorder="1">
      <alignment vertical="center"/>
    </xf>
    <xf numFmtId="10" fontId="8" fillId="0" borderId="0" xfId="2" applyNumberFormat="1" applyAlignment="1">
      <alignment horizontal="center" vertical="center"/>
    </xf>
    <xf numFmtId="0" fontId="5" fillId="0" borderId="15" xfId="0" applyFont="1" applyBorder="1" applyAlignment="1">
      <alignment horizontal="justify" vertical="center" wrapText="1"/>
    </xf>
    <xf numFmtId="0" fontId="0" fillId="0" borderId="15" xfId="0" applyBorder="1" applyAlignment="1"/>
    <xf numFmtId="0" fontId="5" fillId="0" borderId="1" xfId="0" applyFont="1" applyBorder="1" applyAlignment="1">
      <alignment horizontal="justify" vertical="center" wrapText="1"/>
    </xf>
    <xf numFmtId="0" fontId="0" fillId="0" borderId="1" xfId="0" applyBorder="1" applyAlignment="1"/>
    <xf numFmtId="0" fontId="3" fillId="0" borderId="11" xfId="0" applyFont="1" applyBorder="1" applyAlignment="1">
      <alignment horizontal="left" vertical="center"/>
    </xf>
    <xf numFmtId="0" fontId="0" fillId="0" borderId="10" xfId="0" applyBorder="1" applyAlignment="1"/>
    <xf numFmtId="0" fontId="0" fillId="0" borderId="11" xfId="0" applyBorder="1" applyAlignment="1"/>
    <xf numFmtId="0" fontId="3" fillId="0" borderId="0" xfId="0" applyFont="1" applyAlignment="1">
      <alignment horizontal="center" vertical="center" wrapText="1"/>
    </xf>
    <xf numFmtId="0" fontId="0" fillId="0" borderId="0" xfId="0" applyAlignment="1"/>
    <xf numFmtId="0" fontId="3" fillId="0" borderId="16" xfId="0" applyFont="1" applyBorder="1" applyAlignment="1">
      <alignment horizontal="left" vertical="center"/>
    </xf>
    <xf numFmtId="0" fontId="0" fillId="0" borderId="16" xfId="0" applyBorder="1" applyAlignment="1"/>
    <xf numFmtId="0" fontId="3" fillId="0" borderId="15" xfId="0" applyFont="1" applyBorder="1" applyAlignment="1">
      <alignment horizontal="center" vertical="center" wrapText="1"/>
    </xf>
    <xf numFmtId="10" fontId="3" fillId="0" borderId="18" xfId="2" applyNumberFormat="1" applyFont="1" applyBorder="1" applyAlignment="1">
      <alignment horizontal="center" vertical="center" wrapText="1"/>
    </xf>
    <xf numFmtId="10" fontId="3" fillId="0" borderId="15" xfId="2" applyNumberFormat="1" applyFont="1" applyBorder="1" applyAlignment="1">
      <alignment horizontal="center" vertical="center" wrapText="1"/>
    </xf>
    <xf numFmtId="10" fontId="3" fillId="0" borderId="19" xfId="2" applyNumberFormat="1" applyFont="1" applyBorder="1" applyAlignment="1">
      <alignment horizontal="center" vertical="center" wrapText="1"/>
    </xf>
    <xf numFmtId="10" fontId="3" fillId="0" borderId="0" xfId="2" applyNumberFormat="1" applyFont="1" applyAlignment="1">
      <alignment horizontal="center" vertical="center" wrapText="1"/>
    </xf>
    <xf numFmtId="10" fontId="3" fillId="0" borderId="12" xfId="2" applyNumberFormat="1" applyFont="1" applyBorder="1" applyAlignment="1">
      <alignment horizontal="center" vertical="center" wrapText="1"/>
    </xf>
    <xf numFmtId="10" fontId="3" fillId="0" borderId="10" xfId="2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176" fontId="3" fillId="0" borderId="2" xfId="0" applyNumberFormat="1" applyFont="1" applyBorder="1" applyAlignment="1">
      <alignment horizontal="right" vertical="center" shrinkToFit="1"/>
    </xf>
    <xf numFmtId="0" fontId="0" fillId="0" borderId="2" xfId="0" applyBorder="1" applyAlignment="1"/>
    <xf numFmtId="176" fontId="3" fillId="0" borderId="4" xfId="0" applyNumberFormat="1" applyFont="1" applyBorder="1" applyAlignment="1">
      <alignment horizontal="right" vertical="center" shrinkToFit="1"/>
    </xf>
    <xf numFmtId="10" fontId="3" fillId="0" borderId="3" xfId="2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76" fontId="3" fillId="0" borderId="10" xfId="0" applyNumberFormat="1" applyFont="1" applyBorder="1" applyAlignment="1">
      <alignment horizontal="right" vertical="center" shrinkToFit="1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right" vertical="center" shrinkToFit="1"/>
    </xf>
    <xf numFmtId="0" fontId="3" fillId="0" borderId="10" xfId="0" applyFont="1" applyBorder="1" applyAlignment="1">
      <alignment horizontal="left" vertical="center"/>
    </xf>
    <xf numFmtId="0" fontId="5" fillId="0" borderId="15" xfId="0" applyFont="1" applyBorder="1" applyAlignment="1">
      <alignment vertical="center" wrapText="1"/>
    </xf>
    <xf numFmtId="0" fontId="0" fillId="0" borderId="17" xfId="0" applyBorder="1" applyAlignment="1"/>
    <xf numFmtId="0" fontId="3" fillId="0" borderId="15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0" fillId="0" borderId="9" xfId="0" applyBorder="1" applyAlignment="1"/>
    <xf numFmtId="0" fontId="6" fillId="0" borderId="18" xfId="0" applyFont="1" applyBorder="1">
      <alignment vertical="center"/>
    </xf>
    <xf numFmtId="176" fontId="3" fillId="0" borderId="15" xfId="0" applyNumberFormat="1" applyFont="1" applyBorder="1" applyAlignment="1">
      <alignment horizontal="right" vertical="center" shrinkToFit="1"/>
    </xf>
    <xf numFmtId="0" fontId="6" fillId="0" borderId="3" xfId="0" applyFont="1" applyBorder="1">
      <alignment vertical="center"/>
    </xf>
    <xf numFmtId="0" fontId="6" fillId="0" borderId="15" xfId="0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right" vertical="center" shrinkToFit="1"/>
    </xf>
    <xf numFmtId="0" fontId="5" fillId="0" borderId="15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left" vertical="center"/>
    </xf>
    <xf numFmtId="176" fontId="3" fillId="0" borderId="0" xfId="0" applyNumberFormat="1" applyFont="1" applyAlignment="1">
      <alignment horizontal="right" vertical="center" shrinkToFit="1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3" fillId="0" borderId="1" xfId="0" applyFont="1" applyBorder="1">
      <alignment vertical="center"/>
    </xf>
    <xf numFmtId="0" fontId="3" fillId="0" borderId="1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vertical="center" wrapText="1"/>
    </xf>
    <xf numFmtId="0" fontId="3" fillId="0" borderId="20" xfId="0" applyFont="1" applyBorder="1" applyAlignment="1">
      <alignment horizontal="center" vertical="center" wrapText="1"/>
    </xf>
    <xf numFmtId="0" fontId="0" fillId="0" borderId="21" xfId="0" applyBorder="1" applyAlignment="1"/>
    <xf numFmtId="0" fontId="0" fillId="0" borderId="20" xfId="0" applyBorder="1" applyAlignment="1"/>
    <xf numFmtId="0" fontId="3" fillId="0" borderId="22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0" fillId="0" borderId="24" xfId="0" applyBorder="1" applyAlignment="1"/>
    <xf numFmtId="0" fontId="0" fillId="0" borderId="25" xfId="0" applyBorder="1" applyAlignment="1"/>
    <xf numFmtId="176" fontId="3" fillId="0" borderId="6" xfId="0" applyNumberFormat="1" applyFont="1" applyBorder="1" applyAlignment="1">
      <alignment horizontal="right" vertical="center" shrinkToFit="1"/>
    </xf>
    <xf numFmtId="0" fontId="0" fillId="0" borderId="7" xfId="0" applyBorder="1" applyAlignment="1"/>
    <xf numFmtId="0" fontId="0" fillId="0" borderId="6" xfId="0" applyBorder="1" applyAlignment="1"/>
    <xf numFmtId="176" fontId="5" fillId="0" borderId="8" xfId="0" applyNumberFormat="1" applyFont="1" applyBorder="1" applyAlignment="1">
      <alignment horizontal="right" vertical="center" shrinkToFit="1"/>
    </xf>
    <xf numFmtId="0" fontId="0" fillId="0" borderId="26" xfId="0" applyBorder="1" applyAlignment="1"/>
    <xf numFmtId="0" fontId="3" fillId="0" borderId="1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left" vertical="center"/>
    </xf>
    <xf numFmtId="0" fontId="3" fillId="0" borderId="19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 wrapText="1"/>
    </xf>
    <xf numFmtId="0" fontId="0" fillId="0" borderId="12" xfId="0" applyBorder="1" applyAlignment="1"/>
    <xf numFmtId="0" fontId="6" fillId="0" borderId="14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 shrinkToFit="1"/>
    </xf>
    <xf numFmtId="0" fontId="5" fillId="0" borderId="10" xfId="0" applyFont="1" applyBorder="1" applyAlignment="1">
      <alignment horizontal="left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0" fontId="3" fillId="0" borderId="4" xfId="2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4" xfId="0" applyFont="1" applyBorder="1">
      <alignment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0" fillId="0" borderId="13" xfId="0" applyBorder="1" applyAlignment="1"/>
    <xf numFmtId="0" fontId="6" fillId="0" borderId="4" xfId="0" applyFont="1" applyBorder="1" applyAlignment="1">
      <alignment horizontal="left" vertical="center"/>
    </xf>
    <xf numFmtId="176" fontId="6" fillId="0" borderId="4" xfId="0" applyNumberFormat="1" applyFont="1" applyBorder="1" applyAlignment="1">
      <alignment horizontal="right" vertical="center" shrinkToFit="1"/>
    </xf>
    <xf numFmtId="176" fontId="6" fillId="0" borderId="12" xfId="0" applyNumberFormat="1" applyFont="1" applyBorder="1" applyAlignment="1">
      <alignment horizontal="right" vertical="center" shrinkToFit="1"/>
    </xf>
    <xf numFmtId="10" fontId="3" fillId="0" borderId="1" xfId="2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0" fillId="0" borderId="5" xfId="0" applyBorder="1" applyAlignment="1"/>
    <xf numFmtId="0" fontId="6" fillId="0" borderId="3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10" fontId="0" fillId="0" borderId="1" xfId="0" applyNumberFormat="1" applyBorder="1" applyAlignment="1"/>
    <xf numFmtId="10" fontId="0" fillId="0" borderId="2" xfId="0" applyNumberFormat="1" applyBorder="1" applyAlignment="1"/>
    <xf numFmtId="3" fontId="9" fillId="0" borderId="3" xfId="2" applyNumberFormat="1" applyFont="1" applyBorder="1" applyAlignment="1">
      <alignment horizontal="right" vertical="center"/>
    </xf>
    <xf numFmtId="3" fontId="9" fillId="0" borderId="1" xfId="2" applyNumberFormat="1" applyFont="1" applyBorder="1" applyAlignment="1">
      <alignment horizontal="right" vertical="center"/>
    </xf>
    <xf numFmtId="3" fontId="9" fillId="0" borderId="16" xfId="2" applyNumberFormat="1" applyFont="1" applyBorder="1" applyAlignment="1">
      <alignment horizontal="right" vertical="center"/>
    </xf>
  </cellXfs>
  <cellStyles count="3">
    <cellStyle name="백분율" xfId="2" builtinId="5"/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09140-2E6D-46C2-9CD7-AEAE74B8FD55}">
  <sheetPr>
    <tabColor theme="5" tint="0.79998168889431442"/>
  </sheetPr>
  <dimension ref="B2:F8"/>
  <sheetViews>
    <sheetView showGridLines="0" topLeftCell="A5" workbookViewId="0">
      <selection activeCell="D7" sqref="A7:XFD7"/>
    </sheetView>
  </sheetViews>
  <sheetFormatPr defaultRowHeight="17.600000000000001" x14ac:dyDescent="0.55000000000000004"/>
  <cols>
    <col min="1" max="1" width="2.85546875" customWidth="1"/>
    <col min="2" max="2" width="19.0703125" style="11" bestFit="1" customWidth="1"/>
    <col min="3" max="3" width="13.140625" style="11" customWidth="1"/>
    <col min="4" max="4" width="64.78515625" style="14" customWidth="1"/>
    <col min="5" max="5" width="67.7109375" style="15" customWidth="1"/>
    <col min="6" max="6" width="22.2109375" style="11" bestFit="1" customWidth="1"/>
  </cols>
  <sheetData>
    <row r="2" spans="2:6" x14ac:dyDescent="0.55000000000000004">
      <c r="B2" s="16" t="s">
        <v>0</v>
      </c>
      <c r="C2" s="16" t="s">
        <v>1</v>
      </c>
      <c r="D2" s="17" t="s">
        <v>2</v>
      </c>
      <c r="E2" s="17" t="s">
        <v>3</v>
      </c>
      <c r="F2" s="17" t="s">
        <v>4</v>
      </c>
    </row>
    <row r="3" spans="2:6" x14ac:dyDescent="0.55000000000000004">
      <c r="B3" s="13" t="s">
        <v>11</v>
      </c>
      <c r="C3" s="13" t="s">
        <v>12</v>
      </c>
      <c r="D3" s="18" t="s">
        <v>13</v>
      </c>
      <c r="E3" s="19" t="s">
        <v>9</v>
      </c>
      <c r="F3" s="13"/>
    </row>
    <row r="4" spans="2:6" ht="158.15" customHeight="1" x14ac:dyDescent="0.55000000000000004">
      <c r="B4" s="13" t="s">
        <v>11</v>
      </c>
      <c r="C4" s="13" t="s">
        <v>10</v>
      </c>
      <c r="D4" s="18" t="s">
        <v>8</v>
      </c>
      <c r="E4" s="19" t="s">
        <v>15</v>
      </c>
      <c r="F4" s="13" t="s">
        <v>6</v>
      </c>
    </row>
    <row r="5" spans="2:6" ht="158.15" customHeight="1" x14ac:dyDescent="0.55000000000000004">
      <c r="B5" s="13" t="s">
        <v>11</v>
      </c>
      <c r="C5" s="13" t="s">
        <v>14</v>
      </c>
      <c r="D5" s="18" t="s">
        <v>16</v>
      </c>
      <c r="E5" s="19" t="s">
        <v>5</v>
      </c>
      <c r="F5" s="13"/>
    </row>
    <row r="6" spans="2:6" ht="35.15" customHeight="1" x14ac:dyDescent="0.55000000000000004">
      <c r="B6" s="13" t="s">
        <v>11</v>
      </c>
      <c r="C6" s="13" t="s">
        <v>17</v>
      </c>
      <c r="D6" s="18" t="s">
        <v>18</v>
      </c>
      <c r="E6" s="19" t="s">
        <v>19</v>
      </c>
      <c r="F6" s="13"/>
    </row>
    <row r="7" spans="2:6" ht="105.45" x14ac:dyDescent="0.55000000000000004">
      <c r="B7" s="13" t="s">
        <v>327</v>
      </c>
      <c r="C7" s="13" t="s">
        <v>328</v>
      </c>
      <c r="D7" s="18" t="s">
        <v>329</v>
      </c>
      <c r="E7" s="19" t="s">
        <v>332</v>
      </c>
      <c r="F7" s="13"/>
    </row>
    <row r="8" spans="2:6" x14ac:dyDescent="0.55000000000000004">
      <c r="B8" s="13" t="s">
        <v>327</v>
      </c>
      <c r="C8" s="13" t="s">
        <v>330</v>
      </c>
      <c r="D8" s="18" t="s">
        <v>331</v>
      </c>
      <c r="E8" s="19" t="s">
        <v>7</v>
      </c>
      <c r="F8" s="13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3">
    <tabColor theme="5" tint="0.79998168889431442"/>
    <pageSetUpPr fitToPage="1"/>
  </sheetPr>
  <dimension ref="B2:S210"/>
  <sheetViews>
    <sheetView showGridLines="0" zoomScale="85" zoomScaleNormal="85" zoomScaleSheetLayoutView="85" workbookViewId="0">
      <selection activeCell="S16" sqref="S16"/>
    </sheetView>
  </sheetViews>
  <sheetFormatPr defaultColWidth="8.78515625" defaultRowHeight="17.600000000000001" x14ac:dyDescent="0.55000000000000004"/>
  <cols>
    <col min="1" max="1" width="2" style="1" customWidth="1"/>
    <col min="2" max="2" width="14.0703125" style="1" customWidth="1"/>
    <col min="3" max="3" width="10.78515625" style="1" customWidth="1"/>
    <col min="4" max="4" width="7.5" style="1" customWidth="1"/>
    <col min="5" max="5" width="6" style="1" customWidth="1"/>
    <col min="6" max="6" width="9.5" style="1" customWidth="1"/>
    <col min="7" max="7" width="5.92578125" style="1" customWidth="1"/>
    <col min="8" max="8" width="7.5" style="1" customWidth="1"/>
    <col min="9" max="9" width="6.7109375" style="1" customWidth="1"/>
    <col min="10" max="10" width="13.92578125" style="1" customWidth="1"/>
    <col min="11" max="11" width="11" style="1" customWidth="1"/>
    <col min="12" max="12" width="8.5703125" style="1" customWidth="1"/>
    <col min="13" max="13" width="9.42578125" style="1" customWidth="1"/>
    <col min="14" max="14" width="10.2109375" style="1" customWidth="1"/>
    <col min="15" max="15" width="5.92578125" style="1" customWidth="1"/>
    <col min="16" max="16" width="8.2109375" style="1" customWidth="1"/>
    <col min="17" max="17" width="5.0703125" style="1" customWidth="1"/>
    <col min="18" max="18" width="10.78515625" style="1" customWidth="1"/>
    <col min="19" max="19" width="8.78515625" style="1" customWidth="1"/>
    <col min="20" max="16384" width="8.78515625" style="1"/>
  </cols>
  <sheetData>
    <row r="2" spans="2:18" ht="24" customHeight="1" x14ac:dyDescent="0.55000000000000004">
      <c r="B2" s="27" t="s">
        <v>20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</row>
    <row r="3" spans="2:18" ht="30" customHeight="1" x14ac:dyDescent="0.55000000000000004">
      <c r="B3" s="27" t="s">
        <v>21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2:18" ht="24" customHeight="1" x14ac:dyDescent="0.55000000000000004">
      <c r="B4" s="29" t="s">
        <v>22</v>
      </c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spans="2:18" ht="24" customHeight="1" x14ac:dyDescent="0.55000000000000004">
      <c r="B5" s="31" t="s">
        <v>23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3"/>
      <c r="O5" s="34"/>
      <c r="P5" s="35"/>
      <c r="Q5" s="35"/>
      <c r="R5" s="35"/>
    </row>
    <row r="6" spans="2:18" ht="24" customHeight="1" x14ac:dyDescent="0.55000000000000004">
      <c r="B6" s="36" t="s">
        <v>24</v>
      </c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7"/>
      <c r="O6" s="38"/>
      <c r="P6" s="28"/>
      <c r="Q6" s="28"/>
      <c r="R6" s="28"/>
    </row>
    <row r="7" spans="2:18" ht="24" customHeight="1" x14ac:dyDescent="0.55000000000000004">
      <c r="B7" s="36" t="s">
        <v>25</v>
      </c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7"/>
      <c r="O7" s="38"/>
      <c r="P7" s="28"/>
      <c r="Q7" s="28"/>
      <c r="R7" s="28"/>
    </row>
    <row r="8" spans="2:18" ht="24" customHeight="1" x14ac:dyDescent="0.55000000000000004">
      <c r="B8" s="36" t="s">
        <v>26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7"/>
      <c r="O8" s="38"/>
      <c r="P8" s="28"/>
      <c r="Q8" s="28"/>
      <c r="R8" s="28"/>
    </row>
    <row r="9" spans="2:18" ht="24" customHeight="1" x14ac:dyDescent="0.55000000000000004">
      <c r="B9" s="36" t="s">
        <v>27</v>
      </c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7"/>
      <c r="O9" s="39" t="s">
        <v>312</v>
      </c>
      <c r="P9" s="40"/>
      <c r="Q9" s="40"/>
      <c r="R9" s="40"/>
    </row>
    <row r="10" spans="2:18" ht="24" customHeight="1" x14ac:dyDescent="0.55000000000000004">
      <c r="B10" s="36" t="s">
        <v>28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7"/>
      <c r="O10" s="41"/>
      <c r="P10" s="42"/>
      <c r="Q10" s="42"/>
      <c r="R10" s="42"/>
    </row>
    <row r="11" spans="2:18" ht="24" customHeight="1" x14ac:dyDescent="0.55000000000000004">
      <c r="B11" s="36" t="s">
        <v>29</v>
      </c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7"/>
      <c r="O11" s="41"/>
      <c r="P11" s="42"/>
      <c r="Q11" s="42"/>
      <c r="R11" s="42"/>
    </row>
    <row r="12" spans="2:18" ht="24" customHeight="1" x14ac:dyDescent="0.55000000000000004">
      <c r="B12" s="36" t="s">
        <v>30</v>
      </c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7"/>
      <c r="O12" s="41"/>
      <c r="P12" s="42"/>
      <c r="Q12" s="42"/>
      <c r="R12" s="42"/>
    </row>
    <row r="13" spans="2:18" ht="24" customHeight="1" x14ac:dyDescent="0.55000000000000004">
      <c r="B13" s="36" t="s">
        <v>31</v>
      </c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7"/>
      <c r="O13" s="41"/>
      <c r="P13" s="42"/>
      <c r="Q13" s="42"/>
      <c r="R13" s="42"/>
    </row>
    <row r="14" spans="2:18" ht="24" customHeight="1" x14ac:dyDescent="0.55000000000000004">
      <c r="B14" s="36" t="s">
        <v>32</v>
      </c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7"/>
      <c r="O14" s="41"/>
      <c r="P14" s="42"/>
      <c r="Q14" s="42"/>
      <c r="R14" s="42"/>
    </row>
    <row r="15" spans="2:18" ht="24" customHeight="1" x14ac:dyDescent="0.55000000000000004">
      <c r="B15" s="36" t="s">
        <v>33</v>
      </c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7"/>
      <c r="O15" s="41"/>
      <c r="P15" s="42"/>
      <c r="Q15" s="42"/>
      <c r="R15" s="42"/>
    </row>
    <row r="16" spans="2:18" ht="24" customHeight="1" x14ac:dyDescent="0.55000000000000004">
      <c r="B16" s="36" t="s">
        <v>34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7"/>
      <c r="O16" s="41"/>
      <c r="P16" s="42"/>
      <c r="Q16" s="42"/>
      <c r="R16" s="42"/>
    </row>
    <row r="17" spans="2:18" ht="24" customHeight="1" x14ac:dyDescent="0.55000000000000004">
      <c r="B17" s="36" t="s">
        <v>35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7"/>
      <c r="O17" s="41"/>
      <c r="P17" s="42"/>
      <c r="Q17" s="42"/>
      <c r="R17" s="42"/>
    </row>
    <row r="18" spans="2:18" ht="24" customHeight="1" x14ac:dyDescent="0.55000000000000004">
      <c r="B18" s="36" t="s">
        <v>36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7"/>
      <c r="O18" s="41"/>
      <c r="P18" s="42"/>
      <c r="Q18" s="42"/>
      <c r="R18" s="42"/>
    </row>
    <row r="19" spans="2:18" ht="24" customHeight="1" x14ac:dyDescent="0.55000000000000004">
      <c r="B19" s="36" t="s">
        <v>37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7"/>
      <c r="O19" s="41"/>
      <c r="P19" s="42"/>
      <c r="Q19" s="42"/>
      <c r="R19" s="42"/>
    </row>
    <row r="20" spans="2:18" ht="24" customHeight="1" x14ac:dyDescent="0.55000000000000004">
      <c r="B20" s="36" t="s">
        <v>38</v>
      </c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7"/>
      <c r="O20" s="41"/>
      <c r="P20" s="42"/>
      <c r="Q20" s="42"/>
      <c r="R20" s="42"/>
    </row>
    <row r="21" spans="2:18" ht="24" customHeight="1" x14ac:dyDescent="0.55000000000000004">
      <c r="B21" s="36" t="s">
        <v>39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7"/>
      <c r="O21" s="41"/>
      <c r="P21" s="42"/>
      <c r="Q21" s="42"/>
      <c r="R21" s="42"/>
    </row>
    <row r="22" spans="2:18" ht="24" customHeight="1" x14ac:dyDescent="0.55000000000000004">
      <c r="B22" s="36" t="s">
        <v>40</v>
      </c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7"/>
      <c r="O22" s="43"/>
      <c r="P22" s="44"/>
      <c r="Q22" s="44"/>
      <c r="R22" s="44"/>
    </row>
    <row r="24" spans="2:18" ht="24" customHeight="1" x14ac:dyDescent="0.55000000000000004">
      <c r="B24" s="45" t="s">
        <v>41</v>
      </c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</row>
    <row r="25" spans="2:18" ht="24" customHeight="1" x14ac:dyDescent="0.55000000000000004">
      <c r="B25" s="46" t="s">
        <v>42</v>
      </c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</row>
    <row r="26" spans="2:18" ht="24" customHeight="1" x14ac:dyDescent="0.55000000000000004">
      <c r="B26" s="47" t="s">
        <v>43</v>
      </c>
      <c r="C26" s="32"/>
      <c r="D26" s="33"/>
      <c r="E26" s="48" t="s">
        <v>44</v>
      </c>
      <c r="F26" s="32"/>
      <c r="G26" s="32"/>
      <c r="H26" s="33"/>
      <c r="I26" s="48" t="s">
        <v>45</v>
      </c>
      <c r="J26" s="32"/>
      <c r="K26" s="33"/>
      <c r="L26" s="48" t="s">
        <v>46</v>
      </c>
      <c r="M26" s="32"/>
      <c r="N26" s="33"/>
      <c r="O26" s="49" t="s">
        <v>47</v>
      </c>
      <c r="P26" s="32"/>
      <c r="Q26" s="32"/>
      <c r="R26" s="32"/>
    </row>
    <row r="27" spans="2:18" ht="24" customHeight="1" x14ac:dyDescent="0.55000000000000004">
      <c r="B27" s="50"/>
      <c r="C27" s="30"/>
      <c r="D27" s="51"/>
      <c r="E27" s="52">
        <f>O58</f>
        <v>0</v>
      </c>
      <c r="F27" s="30"/>
      <c r="G27" s="30"/>
      <c r="H27" s="51"/>
      <c r="I27" s="52"/>
      <c r="J27" s="30"/>
      <c r="K27" s="51"/>
      <c r="L27" s="52">
        <f>O84</f>
        <v>0</v>
      </c>
      <c r="M27" s="30"/>
      <c r="N27" s="51"/>
      <c r="O27" s="53" t="e">
        <f>L27/E27</f>
        <v>#DIV/0!</v>
      </c>
      <c r="P27" s="30"/>
      <c r="Q27" s="30"/>
      <c r="R27" s="30"/>
    </row>
    <row r="28" spans="2:18" ht="19.95" customHeight="1" x14ac:dyDescent="0.55000000000000004">
      <c r="B28" s="6"/>
      <c r="C28" s="6"/>
      <c r="D28" s="6"/>
      <c r="E28" s="6"/>
      <c r="F28" s="6"/>
      <c r="G28" s="6"/>
      <c r="H28" s="6"/>
      <c r="I28" s="6"/>
      <c r="J28" s="7"/>
      <c r="K28" s="7"/>
      <c r="L28" s="7"/>
      <c r="M28" s="7"/>
      <c r="N28" s="7"/>
      <c r="O28" s="7"/>
      <c r="P28" s="7"/>
      <c r="Q28" s="7"/>
      <c r="R28" s="7"/>
    </row>
    <row r="29" spans="2:18" ht="19.95" customHeight="1" x14ac:dyDescent="0.55000000000000004">
      <c r="B29" s="46" t="s">
        <v>48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</row>
    <row r="30" spans="2:18" ht="19.95" customHeight="1" x14ac:dyDescent="0.55000000000000004">
      <c r="B30" s="54" t="s">
        <v>49</v>
      </c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7"/>
      <c r="O30" s="55"/>
      <c r="P30" s="32"/>
      <c r="Q30" s="32"/>
      <c r="R30" s="32"/>
    </row>
    <row r="31" spans="2:18" ht="19.95" customHeight="1" x14ac:dyDescent="0.55000000000000004">
      <c r="B31" s="54" t="s">
        <v>50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7"/>
      <c r="O31" s="56" t="s">
        <v>51</v>
      </c>
      <c r="P31" s="30"/>
      <c r="Q31" s="30"/>
      <c r="R31" s="30"/>
    </row>
    <row r="32" spans="2:18" ht="19.95" customHeight="1" x14ac:dyDescent="0.55000000000000004">
      <c r="B32" s="57" t="s">
        <v>52</v>
      </c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7"/>
      <c r="O32" s="58"/>
      <c r="P32" s="30"/>
      <c r="Q32" s="30"/>
      <c r="R32" s="30"/>
    </row>
    <row r="33" spans="2:18" ht="19.95" customHeight="1" x14ac:dyDescent="0.55000000000000004">
      <c r="B33" s="59" t="s">
        <v>53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3"/>
      <c r="O33" s="55"/>
      <c r="P33" s="32"/>
      <c r="Q33" s="32"/>
      <c r="R33" s="32"/>
    </row>
    <row r="34" spans="2:18" ht="19.95" customHeight="1" x14ac:dyDescent="0.55000000000000004">
      <c r="B34" s="57" t="s">
        <v>54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7"/>
      <c r="O34" s="58"/>
      <c r="P34" s="30"/>
      <c r="Q34" s="30"/>
      <c r="R34" s="30"/>
    </row>
    <row r="35" spans="2:18" ht="19.95" customHeight="1" x14ac:dyDescent="0.55000000000000004">
      <c r="B35" s="57" t="s">
        <v>55</v>
      </c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7"/>
      <c r="O35" s="58"/>
      <c r="P35" s="30"/>
      <c r="Q35" s="30"/>
      <c r="R35" s="30"/>
    </row>
    <row r="36" spans="2:18" ht="19.95" customHeight="1" x14ac:dyDescent="0.55000000000000004">
      <c r="B36" s="57" t="s">
        <v>56</v>
      </c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7"/>
      <c r="O36" s="58"/>
      <c r="P36" s="30"/>
      <c r="Q36" s="30"/>
      <c r="R36" s="30"/>
    </row>
    <row r="37" spans="2:18" ht="19.95" customHeight="1" x14ac:dyDescent="0.55000000000000004">
      <c r="B37" s="57" t="s">
        <v>57</v>
      </c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7"/>
      <c r="O37" s="58"/>
      <c r="P37" s="30"/>
      <c r="Q37" s="30"/>
      <c r="R37" s="30"/>
    </row>
    <row r="38" spans="2:18" ht="19.95" customHeight="1" x14ac:dyDescent="0.55000000000000004">
      <c r="B38" s="57" t="s">
        <v>58</v>
      </c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7"/>
      <c r="O38" s="58"/>
      <c r="P38" s="30"/>
      <c r="Q38" s="30"/>
      <c r="R38" s="30"/>
    </row>
    <row r="39" spans="2:18" ht="19.95" customHeight="1" x14ac:dyDescent="0.55000000000000004">
      <c r="B39" s="57" t="s">
        <v>59</v>
      </c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7"/>
      <c r="O39" s="58"/>
      <c r="P39" s="30"/>
      <c r="Q39" s="30"/>
      <c r="R39" s="30"/>
    </row>
    <row r="40" spans="2:18" ht="19.95" customHeight="1" x14ac:dyDescent="0.55000000000000004">
      <c r="B40" s="57" t="s">
        <v>60</v>
      </c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7"/>
      <c r="O40" s="58"/>
      <c r="P40" s="30"/>
      <c r="Q40" s="30"/>
      <c r="R40" s="30"/>
    </row>
    <row r="41" spans="2:18" ht="19.95" customHeight="1" x14ac:dyDescent="0.55000000000000004">
      <c r="B41" s="57" t="s">
        <v>61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7"/>
      <c r="O41" s="58"/>
      <c r="P41" s="30"/>
      <c r="Q41" s="30"/>
      <c r="R41" s="30"/>
    </row>
    <row r="42" spans="2:18" ht="19.95" customHeight="1" x14ac:dyDescent="0.55000000000000004">
      <c r="B42" s="57" t="s">
        <v>62</v>
      </c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7"/>
      <c r="O42" s="58"/>
      <c r="P42" s="30"/>
      <c r="Q42" s="30"/>
      <c r="R42" s="30"/>
    </row>
    <row r="43" spans="2:18" ht="19.95" customHeight="1" x14ac:dyDescent="0.55000000000000004">
      <c r="B43" s="57" t="s">
        <v>63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7"/>
      <c r="O43" s="58"/>
      <c r="P43" s="30"/>
      <c r="Q43" s="30"/>
      <c r="R43" s="30"/>
    </row>
    <row r="44" spans="2:18" ht="19.95" customHeight="1" x14ac:dyDescent="0.55000000000000004">
      <c r="B44" s="57" t="s">
        <v>64</v>
      </c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7"/>
      <c r="O44" s="58"/>
      <c r="P44" s="30"/>
      <c r="Q44" s="30"/>
      <c r="R44" s="30"/>
    </row>
    <row r="45" spans="2:18" ht="19.95" customHeight="1" x14ac:dyDescent="0.55000000000000004">
      <c r="B45" s="57" t="s">
        <v>65</v>
      </c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7"/>
      <c r="O45" s="58"/>
      <c r="P45" s="30"/>
      <c r="Q45" s="30"/>
      <c r="R45" s="30"/>
    </row>
    <row r="46" spans="2:18" ht="19.95" customHeight="1" x14ac:dyDescent="0.55000000000000004">
      <c r="B46" s="57" t="s">
        <v>66</v>
      </c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7"/>
      <c r="O46" s="58"/>
      <c r="P46" s="30"/>
      <c r="Q46" s="30"/>
      <c r="R46" s="30"/>
    </row>
    <row r="47" spans="2:18" ht="19.95" customHeight="1" x14ac:dyDescent="0.55000000000000004">
      <c r="B47" s="57" t="s">
        <v>67</v>
      </c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7"/>
      <c r="O47" s="58"/>
      <c r="P47" s="30"/>
      <c r="Q47" s="30"/>
      <c r="R47" s="30"/>
    </row>
    <row r="48" spans="2:18" ht="19.95" customHeight="1" x14ac:dyDescent="0.55000000000000004">
      <c r="B48" s="57" t="s">
        <v>68</v>
      </c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7"/>
      <c r="O48" s="58"/>
      <c r="P48" s="30"/>
      <c r="Q48" s="30"/>
      <c r="R48" s="30"/>
    </row>
    <row r="49" spans="2:18" ht="19.95" customHeight="1" x14ac:dyDescent="0.55000000000000004">
      <c r="B49" s="57" t="s">
        <v>69</v>
      </c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7"/>
      <c r="O49" s="58"/>
      <c r="P49" s="30"/>
      <c r="Q49" s="30"/>
      <c r="R49" s="30"/>
    </row>
    <row r="50" spans="2:18" ht="19.95" customHeight="1" x14ac:dyDescent="0.55000000000000004">
      <c r="B50" s="57" t="s">
        <v>70</v>
      </c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7"/>
      <c r="O50" s="58"/>
      <c r="P50" s="30"/>
      <c r="Q50" s="30"/>
      <c r="R50" s="30"/>
    </row>
    <row r="51" spans="2:18" ht="19.95" customHeight="1" x14ac:dyDescent="0.55000000000000004">
      <c r="B51" s="57" t="s">
        <v>71</v>
      </c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7"/>
      <c r="O51" s="58"/>
      <c r="P51" s="30"/>
      <c r="Q51" s="30"/>
      <c r="R51" s="30"/>
    </row>
    <row r="52" spans="2:18" ht="19.95" customHeight="1" x14ac:dyDescent="0.55000000000000004">
      <c r="B52" s="57" t="s">
        <v>72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7"/>
      <c r="O52" s="58"/>
      <c r="P52" s="30"/>
      <c r="Q52" s="30"/>
      <c r="R52" s="30"/>
    </row>
    <row r="53" spans="2:18" ht="19.95" customHeight="1" x14ac:dyDescent="0.55000000000000004">
      <c r="B53" s="57" t="s">
        <v>73</v>
      </c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7"/>
      <c r="O53" s="58"/>
      <c r="P53" s="30"/>
      <c r="Q53" s="30"/>
      <c r="R53" s="30"/>
    </row>
    <row r="54" spans="2:18" ht="19.95" customHeight="1" x14ac:dyDescent="0.55000000000000004">
      <c r="B54" s="57" t="s">
        <v>74</v>
      </c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7"/>
      <c r="O54" s="58"/>
      <c r="P54" s="30"/>
      <c r="Q54" s="30"/>
      <c r="R54" s="30"/>
    </row>
    <row r="55" spans="2:18" ht="19.95" customHeight="1" x14ac:dyDescent="0.55000000000000004">
      <c r="B55" s="57" t="s">
        <v>75</v>
      </c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7"/>
      <c r="O55" s="58"/>
      <c r="P55" s="30"/>
      <c r="Q55" s="30"/>
      <c r="R55" s="30"/>
    </row>
    <row r="56" spans="2:18" ht="19.95" customHeight="1" x14ac:dyDescent="0.55000000000000004">
      <c r="B56" s="57" t="s">
        <v>76</v>
      </c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7"/>
      <c r="O56" s="58"/>
      <c r="P56" s="30"/>
      <c r="Q56" s="30"/>
      <c r="R56" s="30"/>
    </row>
    <row r="57" spans="2:18" ht="19.95" customHeight="1" x14ac:dyDescent="0.55000000000000004">
      <c r="B57" s="57" t="s">
        <v>77</v>
      </c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7"/>
      <c r="O57" s="58"/>
      <c r="P57" s="30"/>
      <c r="Q57" s="30"/>
      <c r="R57" s="30"/>
    </row>
    <row r="58" spans="2:18" ht="19.95" customHeight="1" x14ac:dyDescent="0.55000000000000004">
      <c r="B58" s="54" t="s">
        <v>78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7"/>
      <c r="O58" s="58">
        <f>SUM(,O32:R57,O30)</f>
        <v>0</v>
      </c>
      <c r="P58" s="30"/>
      <c r="Q58" s="30"/>
      <c r="R58" s="30"/>
    </row>
    <row r="59" spans="2:18" ht="13.85" customHeight="1" x14ac:dyDescent="0.55000000000000004">
      <c r="B59" s="6"/>
      <c r="C59" s="2"/>
      <c r="D59" s="2"/>
      <c r="E59" s="2"/>
      <c r="F59" s="2"/>
      <c r="G59" s="2"/>
      <c r="H59" s="2"/>
      <c r="I59" s="2"/>
      <c r="J59" s="7"/>
      <c r="K59" s="7"/>
      <c r="L59" s="7"/>
      <c r="M59" s="7"/>
      <c r="N59" s="7"/>
      <c r="O59" s="7"/>
      <c r="P59" s="7"/>
      <c r="Q59" s="7"/>
      <c r="R59" s="7"/>
    </row>
    <row r="60" spans="2:18" ht="22.95" customHeight="1" x14ac:dyDescent="0.55000000000000004">
      <c r="B60" s="45" t="s">
        <v>79</v>
      </c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</row>
    <row r="61" spans="2:18" ht="22.95" customHeight="1" x14ac:dyDescent="0.55000000000000004">
      <c r="B61" s="45" t="s">
        <v>80</v>
      </c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</row>
    <row r="62" spans="2:18" ht="22.95" customHeight="1" x14ac:dyDescent="0.55000000000000004">
      <c r="B62" s="60" t="s">
        <v>81</v>
      </c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61"/>
      <c r="O62" s="58"/>
      <c r="P62" s="30"/>
      <c r="Q62" s="30"/>
      <c r="R62" s="30"/>
    </row>
    <row r="63" spans="2:18" ht="22.95" customHeight="1" x14ac:dyDescent="0.55000000000000004">
      <c r="B63" s="60" t="s">
        <v>50</v>
      </c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61"/>
      <c r="O63" s="56" t="s">
        <v>51</v>
      </c>
      <c r="P63" s="30"/>
      <c r="Q63" s="30"/>
      <c r="R63" s="30"/>
    </row>
    <row r="64" spans="2:18" ht="22.95" customHeight="1" x14ac:dyDescent="0.55000000000000004">
      <c r="B64" s="62" t="s">
        <v>82</v>
      </c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61"/>
      <c r="O64" s="58"/>
      <c r="P64" s="30"/>
      <c r="Q64" s="30"/>
      <c r="R64" s="30"/>
    </row>
    <row r="65" spans="2:18" ht="30" customHeight="1" x14ac:dyDescent="0.55000000000000004">
      <c r="B65" s="62" t="s">
        <v>83</v>
      </c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61"/>
      <c r="O65" s="58"/>
      <c r="P65" s="30"/>
      <c r="Q65" s="30"/>
      <c r="R65" s="30"/>
    </row>
    <row r="66" spans="2:18" ht="30" customHeight="1" x14ac:dyDescent="0.55000000000000004">
      <c r="B66" s="62" t="s">
        <v>84</v>
      </c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61"/>
      <c r="O66" s="58"/>
      <c r="P66" s="30"/>
      <c r="Q66" s="30"/>
      <c r="R66" s="30"/>
    </row>
    <row r="67" spans="2:18" ht="22.95" customHeight="1" x14ac:dyDescent="0.55000000000000004">
      <c r="B67" s="62" t="s">
        <v>85</v>
      </c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61"/>
      <c r="O67" s="58"/>
      <c r="P67" s="30"/>
      <c r="Q67" s="30"/>
      <c r="R67" s="30"/>
    </row>
    <row r="68" spans="2:18" ht="22.95" customHeight="1" x14ac:dyDescent="0.55000000000000004">
      <c r="B68" s="62" t="s">
        <v>86</v>
      </c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61"/>
      <c r="O68" s="58"/>
      <c r="P68" s="30"/>
      <c r="Q68" s="30"/>
      <c r="R68" s="30"/>
    </row>
    <row r="69" spans="2:18" ht="22.95" customHeight="1" x14ac:dyDescent="0.55000000000000004">
      <c r="B69" s="62" t="s">
        <v>87</v>
      </c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61"/>
      <c r="O69" s="58"/>
      <c r="P69" s="30"/>
      <c r="Q69" s="30"/>
      <c r="R69" s="30"/>
    </row>
    <row r="70" spans="2:18" ht="30" customHeight="1" x14ac:dyDescent="0.55000000000000004">
      <c r="B70" s="62" t="s">
        <v>88</v>
      </c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61"/>
      <c r="O70" s="58"/>
      <c r="P70" s="30"/>
      <c r="Q70" s="30"/>
      <c r="R70" s="30"/>
    </row>
    <row r="71" spans="2:18" ht="30" customHeight="1" x14ac:dyDescent="0.55000000000000004">
      <c r="B71" s="62" t="s">
        <v>89</v>
      </c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61"/>
      <c r="O71" s="58"/>
      <c r="P71" s="30"/>
      <c r="Q71" s="30"/>
      <c r="R71" s="30"/>
    </row>
    <row r="72" spans="2:18" ht="22.95" customHeight="1" x14ac:dyDescent="0.55000000000000004">
      <c r="B72" s="62" t="s">
        <v>90</v>
      </c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61"/>
      <c r="O72" s="58"/>
      <c r="P72" s="30"/>
      <c r="Q72" s="30"/>
      <c r="R72" s="30"/>
    </row>
    <row r="73" spans="2:18" ht="22.95" customHeight="1" x14ac:dyDescent="0.55000000000000004">
      <c r="B73" s="62" t="s">
        <v>91</v>
      </c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61"/>
      <c r="O73" s="58"/>
      <c r="P73" s="30"/>
      <c r="Q73" s="30"/>
      <c r="R73" s="30"/>
    </row>
    <row r="74" spans="2:18" ht="22.95" customHeight="1" x14ac:dyDescent="0.55000000000000004">
      <c r="B74" s="62" t="s">
        <v>92</v>
      </c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61"/>
      <c r="O74" s="58"/>
      <c r="P74" s="30"/>
      <c r="Q74" s="30"/>
      <c r="R74" s="30"/>
    </row>
    <row r="75" spans="2:18" ht="22.95" customHeight="1" x14ac:dyDescent="0.55000000000000004">
      <c r="B75" s="62" t="s">
        <v>93</v>
      </c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61"/>
      <c r="O75" s="58"/>
      <c r="P75" s="30"/>
      <c r="Q75" s="30"/>
      <c r="R75" s="30"/>
    </row>
    <row r="76" spans="2:18" ht="22.95" customHeight="1" x14ac:dyDescent="0.55000000000000004">
      <c r="B76" s="62" t="s">
        <v>94</v>
      </c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61"/>
      <c r="O76" s="58"/>
      <c r="P76" s="30"/>
      <c r="Q76" s="30"/>
      <c r="R76" s="30"/>
    </row>
    <row r="77" spans="2:18" ht="22.95" customHeight="1" x14ac:dyDescent="0.55000000000000004">
      <c r="B77" s="62" t="s">
        <v>95</v>
      </c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61"/>
      <c r="O77" s="58"/>
      <c r="P77" s="30"/>
      <c r="Q77" s="30"/>
      <c r="R77" s="30"/>
    </row>
    <row r="78" spans="2:18" ht="22.95" customHeight="1" x14ac:dyDescent="0.55000000000000004">
      <c r="B78" s="62" t="s">
        <v>96</v>
      </c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61"/>
      <c r="O78" s="58"/>
      <c r="P78" s="30"/>
      <c r="Q78" s="30"/>
      <c r="R78" s="30"/>
    </row>
    <row r="79" spans="2:18" ht="22.95" customHeight="1" x14ac:dyDescent="0.55000000000000004">
      <c r="B79" s="62" t="s">
        <v>97</v>
      </c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61"/>
      <c r="O79" s="58"/>
      <c r="P79" s="30"/>
      <c r="Q79" s="30"/>
      <c r="R79" s="30"/>
    </row>
    <row r="80" spans="2:18" ht="22.95" customHeight="1" x14ac:dyDescent="0.55000000000000004">
      <c r="B80" s="62" t="s">
        <v>98</v>
      </c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61"/>
      <c r="O80" s="58">
        <f>O129</f>
        <v>0</v>
      </c>
      <c r="P80" s="30"/>
      <c r="Q80" s="30"/>
      <c r="R80" s="30"/>
    </row>
    <row r="81" spans="2:18" ht="30" customHeight="1" x14ac:dyDescent="0.55000000000000004">
      <c r="B81" s="62" t="s">
        <v>99</v>
      </c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61"/>
      <c r="O81" s="58"/>
      <c r="P81" s="30"/>
      <c r="Q81" s="30"/>
      <c r="R81" s="30"/>
    </row>
    <row r="82" spans="2:18" ht="22.95" customHeight="1" x14ac:dyDescent="0.55000000000000004">
      <c r="B82" s="62" t="s">
        <v>100</v>
      </c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61"/>
      <c r="O82" s="58"/>
      <c r="P82" s="30"/>
      <c r="Q82" s="30"/>
      <c r="R82" s="30"/>
    </row>
    <row r="83" spans="2:18" ht="22.95" customHeight="1" x14ac:dyDescent="0.55000000000000004">
      <c r="B83" s="62" t="s">
        <v>101</v>
      </c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61"/>
      <c r="O83" s="58"/>
      <c r="P83" s="30"/>
      <c r="Q83" s="30"/>
      <c r="R83" s="30"/>
    </row>
    <row r="84" spans="2:18" ht="22.95" customHeight="1" x14ac:dyDescent="0.55000000000000004">
      <c r="B84" s="54" t="s">
        <v>102</v>
      </c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7"/>
      <c r="O84" s="58">
        <f>SUM(O62,O64:R83)</f>
        <v>0</v>
      </c>
      <c r="P84" s="30"/>
      <c r="Q84" s="30"/>
      <c r="R84" s="30"/>
    </row>
    <row r="85" spans="2:18" x14ac:dyDescent="0.55000000000000004">
      <c r="B85" s="6"/>
      <c r="C85" s="2"/>
      <c r="D85" s="2"/>
      <c r="E85" s="2"/>
      <c r="F85" s="2"/>
      <c r="G85" s="2"/>
      <c r="H85" s="2"/>
      <c r="I85" s="2"/>
      <c r="J85" s="7"/>
      <c r="K85" s="7"/>
      <c r="L85" s="7"/>
      <c r="M85" s="7"/>
      <c r="N85" s="7"/>
      <c r="O85" s="7"/>
      <c r="P85" s="7"/>
      <c r="Q85" s="7"/>
      <c r="R85" s="7"/>
    </row>
    <row r="86" spans="2:18" ht="25.95" customHeight="1" x14ac:dyDescent="0.55000000000000004">
      <c r="B86" s="46" t="s">
        <v>103</v>
      </c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2:18" ht="25.95" customHeight="1" x14ac:dyDescent="0.55000000000000004">
      <c r="B87" s="57" t="s">
        <v>104</v>
      </c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7"/>
      <c r="O87" s="58"/>
      <c r="P87" s="30"/>
      <c r="Q87" s="30"/>
      <c r="R87" s="30"/>
    </row>
    <row r="88" spans="2:18" ht="25.95" customHeight="1" x14ac:dyDescent="0.55000000000000004">
      <c r="B88" s="57" t="s">
        <v>105</v>
      </c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7"/>
      <c r="O88" s="58"/>
      <c r="P88" s="30"/>
      <c r="Q88" s="30"/>
      <c r="R88" s="30"/>
    </row>
    <row r="89" spans="2:18" ht="25.95" customHeight="1" x14ac:dyDescent="0.55000000000000004">
      <c r="B89" s="57" t="s">
        <v>106</v>
      </c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7"/>
      <c r="O89" s="58"/>
      <c r="P89" s="30"/>
      <c r="Q89" s="30"/>
      <c r="R89" s="30"/>
    </row>
    <row r="90" spans="2:18" ht="25.95" customHeight="1" x14ac:dyDescent="0.55000000000000004">
      <c r="B90" s="57" t="s">
        <v>107</v>
      </c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7"/>
      <c r="O90" s="58">
        <f>O87+O88-O89</f>
        <v>0</v>
      </c>
      <c r="P90" s="30"/>
      <c r="Q90" s="30"/>
      <c r="R90" s="30"/>
    </row>
    <row r="91" spans="2:18" ht="4.95" customHeight="1" x14ac:dyDescent="0.55000000000000004"/>
    <row r="92" spans="2:18" ht="25.95" customHeight="1" x14ac:dyDescent="0.55000000000000004">
      <c r="B92" s="46" t="s">
        <v>108</v>
      </c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2:18" ht="25.95" customHeight="1" x14ac:dyDescent="0.55000000000000004">
      <c r="B93" s="63" t="s">
        <v>109</v>
      </c>
      <c r="C93" s="30"/>
      <c r="D93" s="37"/>
      <c r="E93" s="64" t="s">
        <v>110</v>
      </c>
      <c r="F93" s="30"/>
      <c r="G93" s="30"/>
      <c r="H93" s="30"/>
      <c r="I93" s="37"/>
      <c r="J93" s="65" t="s">
        <v>111</v>
      </c>
      <c r="K93" s="30"/>
      <c r="L93" s="30"/>
      <c r="M93" s="30"/>
      <c r="N93" s="30"/>
      <c r="O93" s="30"/>
      <c r="P93" s="30"/>
      <c r="Q93" s="30"/>
      <c r="R93" s="30"/>
    </row>
    <row r="94" spans="2:18" ht="25.95" customHeight="1" x14ac:dyDescent="0.55000000000000004">
      <c r="B94" s="65"/>
      <c r="C94" s="30"/>
      <c r="D94" s="37"/>
      <c r="E94" s="66"/>
      <c r="F94" s="30"/>
      <c r="G94" s="30"/>
      <c r="H94" s="30"/>
      <c r="I94" s="37"/>
      <c r="J94" s="58"/>
      <c r="K94" s="30"/>
      <c r="L94" s="30"/>
      <c r="M94" s="30"/>
      <c r="N94" s="30"/>
      <c r="O94" s="30"/>
      <c r="P94" s="30"/>
      <c r="Q94" s="30"/>
      <c r="R94" s="30"/>
    </row>
    <row r="95" spans="2:18" ht="25.95" customHeight="1" x14ac:dyDescent="0.55000000000000004">
      <c r="B95" s="65"/>
      <c r="C95" s="30"/>
      <c r="D95" s="37"/>
      <c r="E95" s="66"/>
      <c r="F95" s="30"/>
      <c r="G95" s="30"/>
      <c r="H95" s="30"/>
      <c r="I95" s="37"/>
      <c r="J95" s="58"/>
      <c r="K95" s="30"/>
      <c r="L95" s="30"/>
      <c r="M95" s="30"/>
      <c r="N95" s="30"/>
      <c r="O95" s="30"/>
      <c r="P95" s="30"/>
      <c r="Q95" s="30"/>
      <c r="R95" s="30"/>
    </row>
    <row r="96" spans="2:18" ht="25.95" customHeight="1" x14ac:dyDescent="0.55000000000000004">
      <c r="B96" s="67" t="s">
        <v>112</v>
      </c>
      <c r="C96" s="30"/>
      <c r="D96" s="30"/>
      <c r="E96" s="30"/>
      <c r="F96" s="30"/>
      <c r="G96" s="30"/>
      <c r="H96" s="30"/>
      <c r="I96" s="37"/>
      <c r="J96" s="58"/>
      <c r="K96" s="30"/>
      <c r="L96" s="30"/>
      <c r="M96" s="30"/>
      <c r="N96" s="30"/>
      <c r="O96" s="30"/>
      <c r="P96" s="30"/>
      <c r="Q96" s="30"/>
      <c r="R96" s="30"/>
    </row>
    <row r="98" spans="2:18" ht="25.95" customHeight="1" x14ac:dyDescent="0.55000000000000004">
      <c r="B98" s="45" t="s">
        <v>113</v>
      </c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</row>
    <row r="99" spans="2:18" ht="25.95" customHeight="1" x14ac:dyDescent="0.55000000000000004">
      <c r="B99" s="45" t="s">
        <v>114</v>
      </c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</row>
    <row r="100" spans="2:18" ht="25.95" customHeight="1" x14ac:dyDescent="0.55000000000000004">
      <c r="B100" s="45" t="s">
        <v>115</v>
      </c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</row>
    <row r="101" spans="2:18" ht="25.95" customHeight="1" x14ac:dyDescent="0.55000000000000004">
      <c r="B101" s="68" t="s">
        <v>116</v>
      </c>
      <c r="C101" s="28"/>
      <c r="D101" s="61"/>
      <c r="E101" s="71" t="s">
        <v>117</v>
      </c>
      <c r="F101" s="28"/>
      <c r="G101" s="28"/>
      <c r="H101" s="28"/>
      <c r="I101" s="28"/>
      <c r="J101" s="28"/>
      <c r="K101" s="28"/>
      <c r="L101" s="28"/>
      <c r="M101" s="28"/>
      <c r="N101" s="61"/>
      <c r="O101" s="72"/>
      <c r="P101" s="28"/>
      <c r="Q101" s="28"/>
      <c r="R101" s="28"/>
    </row>
    <row r="102" spans="2:18" ht="25.95" customHeight="1" x14ac:dyDescent="0.55000000000000004">
      <c r="B102" s="69"/>
      <c r="C102" s="69"/>
      <c r="D102" s="70"/>
      <c r="E102" s="71" t="s">
        <v>118</v>
      </c>
      <c r="F102" s="28"/>
      <c r="G102" s="28"/>
      <c r="H102" s="28"/>
      <c r="I102" s="28"/>
      <c r="J102" s="28"/>
      <c r="K102" s="28"/>
      <c r="L102" s="28"/>
      <c r="M102" s="28"/>
      <c r="N102" s="61"/>
      <c r="O102" s="72"/>
      <c r="P102" s="28"/>
      <c r="Q102" s="28"/>
      <c r="R102" s="28"/>
    </row>
    <row r="103" spans="2:18" ht="25.95" customHeight="1" x14ac:dyDescent="0.55000000000000004">
      <c r="B103" s="69"/>
      <c r="C103" s="69"/>
      <c r="D103" s="70"/>
      <c r="E103" s="71" t="s">
        <v>119</v>
      </c>
      <c r="F103" s="28"/>
      <c r="G103" s="28"/>
      <c r="H103" s="28"/>
      <c r="I103" s="28"/>
      <c r="J103" s="28"/>
      <c r="K103" s="28"/>
      <c r="L103" s="28"/>
      <c r="M103" s="28"/>
      <c r="N103" s="61"/>
      <c r="O103" s="72"/>
      <c r="P103" s="28"/>
      <c r="Q103" s="28"/>
      <c r="R103" s="28"/>
    </row>
    <row r="104" spans="2:18" ht="25.95" customHeight="1" x14ac:dyDescent="0.55000000000000004">
      <c r="B104" s="32"/>
      <c r="C104" s="32"/>
      <c r="D104" s="33"/>
      <c r="E104" s="73" t="s">
        <v>120</v>
      </c>
      <c r="F104" s="30"/>
      <c r="G104" s="30"/>
      <c r="H104" s="30"/>
      <c r="I104" s="30"/>
      <c r="J104" s="30"/>
      <c r="K104" s="30"/>
      <c r="L104" s="30"/>
      <c r="M104" s="30"/>
      <c r="N104" s="37"/>
      <c r="O104" s="72">
        <f>O101-O102+O103</f>
        <v>0</v>
      </c>
      <c r="P104" s="28"/>
      <c r="Q104" s="28"/>
      <c r="R104" s="28"/>
    </row>
    <row r="105" spans="2:18" ht="25.95" customHeight="1" x14ac:dyDescent="0.55000000000000004">
      <c r="B105" s="57" t="s">
        <v>121</v>
      </c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7"/>
      <c r="O105" s="72">
        <f>O80</f>
        <v>0</v>
      </c>
      <c r="P105" s="28"/>
      <c r="Q105" s="28"/>
      <c r="R105" s="28"/>
    </row>
    <row r="106" spans="2:18" ht="25.95" customHeight="1" x14ac:dyDescent="0.55000000000000004">
      <c r="B106" s="74" t="s">
        <v>122</v>
      </c>
      <c r="C106" s="28"/>
      <c r="D106" s="61"/>
      <c r="E106" s="71" t="s">
        <v>123</v>
      </c>
      <c r="F106" s="28"/>
      <c r="G106" s="28"/>
      <c r="H106" s="28"/>
      <c r="I106" s="28"/>
      <c r="J106" s="28"/>
      <c r="K106" s="28"/>
      <c r="L106" s="28"/>
      <c r="M106" s="28"/>
      <c r="N106" s="61"/>
      <c r="O106" s="72">
        <f>O104+O105</f>
        <v>0</v>
      </c>
      <c r="P106" s="28"/>
      <c r="Q106" s="28"/>
      <c r="R106" s="28"/>
    </row>
    <row r="107" spans="2:18" ht="25.95" customHeight="1" x14ac:dyDescent="0.55000000000000004">
      <c r="B107" s="69"/>
      <c r="C107" s="69"/>
      <c r="D107" s="70"/>
      <c r="E107" s="71" t="s">
        <v>124</v>
      </c>
      <c r="F107" s="28"/>
      <c r="G107" s="28"/>
      <c r="H107" s="28"/>
      <c r="I107" s="28"/>
      <c r="J107" s="28"/>
      <c r="K107" s="28"/>
      <c r="L107" s="28"/>
      <c r="M107" s="28"/>
      <c r="N107" s="61"/>
      <c r="O107" s="72"/>
      <c r="P107" s="28"/>
      <c r="Q107" s="28"/>
      <c r="R107" s="28"/>
    </row>
    <row r="108" spans="2:18" ht="25.95" customHeight="1" x14ac:dyDescent="0.55000000000000004">
      <c r="B108" s="32"/>
      <c r="C108" s="32"/>
      <c r="D108" s="33"/>
      <c r="E108" s="73" t="s">
        <v>125</v>
      </c>
      <c r="F108" s="30"/>
      <c r="G108" s="30"/>
      <c r="H108" s="30"/>
      <c r="I108" s="30"/>
      <c r="J108" s="30"/>
      <c r="K108" s="30"/>
      <c r="L108" s="30"/>
      <c r="M108" s="30"/>
      <c r="N108" s="37"/>
      <c r="O108" s="72"/>
      <c r="P108" s="28"/>
      <c r="Q108" s="28"/>
      <c r="R108" s="28"/>
    </row>
    <row r="109" spans="2:18" ht="25.95" customHeight="1" x14ac:dyDescent="0.55000000000000004">
      <c r="B109" s="57" t="s">
        <v>126</v>
      </c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7"/>
      <c r="O109" s="75">
        <f>O106+O107-O108</f>
        <v>0</v>
      </c>
      <c r="P109" s="30"/>
      <c r="Q109" s="30"/>
      <c r="R109" s="30"/>
    </row>
    <row r="111" spans="2:18" ht="31.95" customHeight="1" x14ac:dyDescent="0.55000000000000004">
      <c r="B111" s="45" t="s">
        <v>127</v>
      </c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</row>
    <row r="112" spans="2:18" ht="31.95" customHeight="1" x14ac:dyDescent="0.55000000000000004">
      <c r="B112" s="60" t="s">
        <v>128</v>
      </c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61"/>
      <c r="O112" s="76" t="s">
        <v>51</v>
      </c>
      <c r="P112" s="28"/>
      <c r="Q112" s="28"/>
      <c r="R112" s="28"/>
    </row>
    <row r="113" spans="2:18" ht="31.95" customHeight="1" x14ac:dyDescent="0.55000000000000004">
      <c r="B113" s="77" t="s">
        <v>129</v>
      </c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61"/>
      <c r="O113" s="72"/>
      <c r="P113" s="28"/>
      <c r="Q113" s="28"/>
      <c r="R113" s="28"/>
    </row>
    <row r="114" spans="2:18" ht="31.95" customHeight="1" x14ac:dyDescent="0.55000000000000004">
      <c r="B114" s="77" t="s">
        <v>130</v>
      </c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61"/>
      <c r="O114" s="72"/>
      <c r="P114" s="28"/>
      <c r="Q114" s="28"/>
      <c r="R114" s="28"/>
    </row>
    <row r="115" spans="2:18" ht="31.95" customHeight="1" x14ac:dyDescent="0.55000000000000004">
      <c r="B115" s="77" t="s">
        <v>131</v>
      </c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61"/>
      <c r="O115" s="72"/>
      <c r="P115" s="28"/>
      <c r="Q115" s="28"/>
      <c r="R115" s="28"/>
    </row>
    <row r="116" spans="2:18" ht="31.95" customHeight="1" x14ac:dyDescent="0.55000000000000004">
      <c r="B116" s="77" t="s">
        <v>132</v>
      </c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61"/>
      <c r="O116" s="72"/>
      <c r="P116" s="28"/>
      <c r="Q116" s="28"/>
      <c r="R116" s="28"/>
    </row>
    <row r="117" spans="2:18" ht="31.95" customHeight="1" x14ac:dyDescent="0.55000000000000004">
      <c r="B117" s="77" t="s">
        <v>133</v>
      </c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61"/>
      <c r="O117" s="72"/>
      <c r="P117" s="28"/>
      <c r="Q117" s="28"/>
      <c r="R117" s="28"/>
    </row>
    <row r="118" spans="2:18" ht="31.95" customHeight="1" x14ac:dyDescent="0.55000000000000004">
      <c r="B118" s="77" t="s">
        <v>134</v>
      </c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61"/>
      <c r="O118" s="72"/>
      <c r="P118" s="28"/>
      <c r="Q118" s="28"/>
      <c r="R118" s="28"/>
    </row>
    <row r="119" spans="2:18" ht="31.95" customHeight="1" x14ac:dyDescent="0.55000000000000004">
      <c r="B119" s="77" t="s">
        <v>135</v>
      </c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61"/>
      <c r="O119" s="72"/>
      <c r="P119" s="28"/>
      <c r="Q119" s="28"/>
      <c r="R119" s="28"/>
    </row>
    <row r="120" spans="2:18" ht="31.95" customHeight="1" x14ac:dyDescent="0.55000000000000004">
      <c r="B120" s="77" t="s">
        <v>136</v>
      </c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61"/>
      <c r="O120" s="72"/>
      <c r="P120" s="28"/>
      <c r="Q120" s="28"/>
      <c r="R120" s="28"/>
    </row>
    <row r="121" spans="2:18" ht="31.95" customHeight="1" x14ac:dyDescent="0.55000000000000004">
      <c r="B121" s="77" t="s">
        <v>137</v>
      </c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61"/>
      <c r="O121" s="72"/>
      <c r="P121" s="28"/>
      <c r="Q121" s="28"/>
      <c r="R121" s="28"/>
    </row>
    <row r="122" spans="2:18" ht="31.95" customHeight="1" x14ac:dyDescent="0.55000000000000004">
      <c r="B122" s="77" t="s">
        <v>138</v>
      </c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61"/>
      <c r="O122" s="72"/>
      <c r="P122" s="28"/>
      <c r="Q122" s="28"/>
      <c r="R122" s="28"/>
    </row>
    <row r="123" spans="2:18" ht="31.95" customHeight="1" x14ac:dyDescent="0.55000000000000004">
      <c r="B123" s="77" t="s">
        <v>139</v>
      </c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61"/>
      <c r="O123" s="72"/>
      <c r="P123" s="28"/>
      <c r="Q123" s="28"/>
      <c r="R123" s="28"/>
    </row>
    <row r="124" spans="2:18" ht="31.95" customHeight="1" x14ac:dyDescent="0.55000000000000004">
      <c r="B124" s="77" t="s">
        <v>140</v>
      </c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61"/>
      <c r="O124" s="72"/>
      <c r="P124" s="28"/>
      <c r="Q124" s="28"/>
      <c r="R124" s="28"/>
    </row>
    <row r="125" spans="2:18" ht="31.95" customHeight="1" x14ac:dyDescent="0.55000000000000004">
      <c r="B125" s="77" t="s">
        <v>141</v>
      </c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61"/>
      <c r="O125" s="72"/>
      <c r="P125" s="28"/>
      <c r="Q125" s="28"/>
      <c r="R125" s="28"/>
    </row>
    <row r="126" spans="2:18" ht="31.95" customHeight="1" x14ac:dyDescent="0.55000000000000004">
      <c r="B126" s="77" t="s">
        <v>142</v>
      </c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61"/>
      <c r="O126" s="75"/>
      <c r="P126" s="30"/>
      <c r="Q126" s="30"/>
      <c r="R126" s="30"/>
    </row>
    <row r="127" spans="2:18" ht="31.95" customHeight="1" x14ac:dyDescent="0.55000000000000004">
      <c r="B127" s="77" t="s">
        <v>143</v>
      </c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61"/>
      <c r="O127" s="78"/>
      <c r="P127" s="35"/>
      <c r="Q127" s="35"/>
      <c r="R127" s="35"/>
    </row>
    <row r="128" spans="2:18" ht="31.95" customHeight="1" x14ac:dyDescent="0.55000000000000004">
      <c r="B128" s="77" t="s">
        <v>144</v>
      </c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61"/>
      <c r="O128" s="72"/>
      <c r="P128" s="28"/>
      <c r="Q128" s="28"/>
      <c r="R128" s="28"/>
    </row>
    <row r="129" spans="2:19" ht="31.95" customHeight="1" x14ac:dyDescent="0.55000000000000004">
      <c r="B129" s="54" t="s">
        <v>145</v>
      </c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7"/>
      <c r="O129" s="58">
        <f>SUM(O113:R128)</f>
        <v>0</v>
      </c>
      <c r="P129" s="30"/>
      <c r="Q129" s="30"/>
      <c r="R129" s="30"/>
    </row>
    <row r="131" spans="2:19" ht="31.95" customHeight="1" x14ac:dyDescent="0.55000000000000004">
      <c r="B131" s="45" t="s">
        <v>146</v>
      </c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</row>
    <row r="132" spans="2:19" ht="31.95" customHeight="1" x14ac:dyDescent="0.55000000000000004">
      <c r="B132" s="63" t="s">
        <v>148</v>
      </c>
      <c r="C132" s="79"/>
      <c r="D132" s="79"/>
      <c r="E132" s="80"/>
      <c r="F132" s="64" t="s">
        <v>147</v>
      </c>
      <c r="G132" s="30"/>
      <c r="H132" s="30"/>
      <c r="I132" s="30"/>
      <c r="J132" s="30"/>
      <c r="K132" s="30"/>
      <c r="L132" s="37"/>
      <c r="M132" s="65" t="s">
        <v>149</v>
      </c>
      <c r="N132" s="30"/>
      <c r="O132" s="30"/>
      <c r="P132" s="30"/>
      <c r="Q132" s="30"/>
      <c r="R132" s="30"/>
    </row>
    <row r="133" spans="2:19" ht="31.95" customHeight="1" x14ac:dyDescent="0.55000000000000004">
      <c r="B133" s="81"/>
      <c r="C133" s="30"/>
      <c r="D133" s="30"/>
      <c r="E133" s="37"/>
      <c r="F133" s="75"/>
      <c r="G133" s="30"/>
      <c r="H133" s="30"/>
      <c r="I133" s="30"/>
      <c r="J133" s="30"/>
      <c r="K133" s="30"/>
      <c r="L133" s="37"/>
      <c r="M133" s="58"/>
      <c r="N133" s="30"/>
      <c r="O133" s="30"/>
      <c r="P133" s="30"/>
      <c r="Q133" s="30"/>
      <c r="R133" s="30"/>
    </row>
    <row r="134" spans="2:19" ht="31.95" customHeight="1" x14ac:dyDescent="0.55000000000000004">
      <c r="B134" s="81"/>
      <c r="C134" s="30"/>
      <c r="D134" s="30"/>
      <c r="E134" s="37"/>
      <c r="F134" s="75"/>
      <c r="G134" s="30"/>
      <c r="H134" s="30"/>
      <c r="I134" s="30"/>
      <c r="J134" s="30"/>
      <c r="K134" s="30"/>
      <c r="L134" s="37"/>
      <c r="M134" s="58"/>
      <c r="N134" s="30"/>
      <c r="O134" s="30"/>
      <c r="P134" s="30"/>
      <c r="Q134" s="30"/>
      <c r="R134" s="30"/>
    </row>
    <row r="135" spans="2:19" ht="31.95" customHeight="1" x14ac:dyDescent="0.55000000000000004">
      <c r="B135" s="81"/>
      <c r="C135" s="30"/>
      <c r="D135" s="30"/>
      <c r="E135" s="37"/>
      <c r="F135" s="75"/>
      <c r="G135" s="30"/>
      <c r="H135" s="30"/>
      <c r="I135" s="30"/>
      <c r="J135" s="30"/>
      <c r="K135" s="30"/>
      <c r="L135" s="37"/>
      <c r="M135" s="58"/>
      <c r="N135" s="30"/>
      <c r="O135" s="30"/>
      <c r="P135" s="30"/>
      <c r="Q135" s="30"/>
      <c r="R135" s="30"/>
    </row>
    <row r="136" spans="2:19" ht="31.95" customHeight="1" x14ac:dyDescent="0.55000000000000004">
      <c r="B136" s="81"/>
      <c r="C136" s="30"/>
      <c r="D136" s="30"/>
      <c r="E136" s="37"/>
      <c r="F136" s="75"/>
      <c r="G136" s="30"/>
      <c r="H136" s="30"/>
      <c r="I136" s="30"/>
      <c r="J136" s="30"/>
      <c r="K136" s="30"/>
      <c r="L136" s="37"/>
      <c r="M136" s="58"/>
      <c r="N136" s="30"/>
      <c r="O136" s="30"/>
      <c r="P136" s="30"/>
      <c r="Q136" s="30"/>
      <c r="R136" s="30"/>
    </row>
    <row r="137" spans="2:19" ht="31.95" customHeight="1" x14ac:dyDescent="0.55000000000000004">
      <c r="B137" s="63" t="s">
        <v>150</v>
      </c>
      <c r="C137" s="79"/>
      <c r="D137" s="79"/>
      <c r="E137" s="80"/>
      <c r="F137" s="75"/>
      <c r="G137" s="30"/>
      <c r="H137" s="30"/>
      <c r="I137" s="30"/>
      <c r="J137" s="30"/>
      <c r="K137" s="30"/>
      <c r="L137" s="37"/>
      <c r="M137" s="58"/>
      <c r="N137" s="30"/>
      <c r="O137" s="30"/>
      <c r="P137" s="30"/>
      <c r="Q137" s="30"/>
      <c r="R137" s="30"/>
    </row>
    <row r="138" spans="2:19" ht="4.95" customHeight="1" x14ac:dyDescent="0.55000000000000004"/>
    <row r="139" spans="2:19" ht="31.95" customHeight="1" x14ac:dyDescent="0.55000000000000004">
      <c r="B139" s="45" t="s">
        <v>151</v>
      </c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0"/>
    </row>
    <row r="140" spans="2:19" ht="31.95" customHeight="1" x14ac:dyDescent="0.55000000000000004">
      <c r="B140" s="45" t="s">
        <v>152</v>
      </c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</row>
    <row r="141" spans="2:19" ht="31.95" customHeight="1" x14ac:dyDescent="0.55000000000000004">
      <c r="B141" s="36" t="s">
        <v>153</v>
      </c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7"/>
      <c r="O141" s="72"/>
      <c r="P141" s="28"/>
      <c r="Q141" s="28"/>
      <c r="R141" s="28"/>
    </row>
    <row r="142" spans="2:19" ht="31.95" customHeight="1" x14ac:dyDescent="0.55000000000000004">
      <c r="B142" s="36" t="s">
        <v>155</v>
      </c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7"/>
      <c r="O142" s="72"/>
      <c r="P142" s="28"/>
      <c r="Q142" s="28"/>
      <c r="R142" s="28"/>
    </row>
    <row r="143" spans="2:19" ht="31.95" customHeight="1" x14ac:dyDescent="0.55000000000000004">
      <c r="B143" s="36" t="s">
        <v>154</v>
      </c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7"/>
      <c r="O143" s="72"/>
      <c r="P143" s="28"/>
      <c r="Q143" s="28"/>
      <c r="R143" s="28"/>
    </row>
    <row r="144" spans="2:19" ht="31.95" customHeight="1" x14ac:dyDescent="0.55000000000000004">
      <c r="B144" s="45" t="s">
        <v>156</v>
      </c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</row>
    <row r="145" spans="2:18" ht="31.95" customHeight="1" x14ac:dyDescent="0.55000000000000004">
      <c r="B145" s="82" t="s">
        <v>157</v>
      </c>
      <c r="C145" s="30"/>
      <c r="D145" s="30"/>
      <c r="E145" s="30"/>
      <c r="F145" s="30"/>
      <c r="G145" s="30"/>
      <c r="H145" s="30"/>
      <c r="I145" s="37"/>
      <c r="J145" s="83" t="s">
        <v>158</v>
      </c>
      <c r="K145" s="30"/>
      <c r="L145" s="30"/>
      <c r="M145" s="37"/>
      <c r="N145" s="66" t="s">
        <v>159</v>
      </c>
      <c r="O145" s="30"/>
      <c r="P145" s="30"/>
      <c r="Q145" s="30"/>
      <c r="R145" s="30"/>
    </row>
    <row r="146" spans="2:18" ht="54" customHeight="1" x14ac:dyDescent="0.55000000000000004">
      <c r="B146" s="84" t="s">
        <v>160</v>
      </c>
      <c r="C146" s="30"/>
      <c r="D146" s="30"/>
      <c r="E146" s="30"/>
      <c r="F146" s="30"/>
      <c r="G146" s="30"/>
      <c r="H146" s="30"/>
      <c r="I146" s="51"/>
      <c r="J146" s="52"/>
      <c r="K146" s="30"/>
      <c r="L146" s="30"/>
      <c r="M146" s="51"/>
      <c r="N146" s="75"/>
      <c r="O146" s="30"/>
      <c r="P146" s="30"/>
      <c r="Q146" s="30"/>
      <c r="R146" s="30"/>
    </row>
    <row r="147" spans="2:18" ht="38.4" customHeight="1" x14ac:dyDescent="0.55000000000000004">
      <c r="B147" s="84" t="s">
        <v>161</v>
      </c>
      <c r="C147" s="30"/>
      <c r="D147" s="30"/>
      <c r="E147" s="30"/>
      <c r="F147" s="30"/>
      <c r="G147" s="30"/>
      <c r="H147" s="30"/>
      <c r="I147" s="51"/>
      <c r="J147" s="52"/>
      <c r="K147" s="30"/>
      <c r="L147" s="30"/>
      <c r="M147" s="51"/>
      <c r="N147" s="75"/>
      <c r="O147" s="30"/>
      <c r="P147" s="30"/>
      <c r="Q147" s="30"/>
      <c r="R147" s="30"/>
    </row>
    <row r="148" spans="2:18" ht="31.95" customHeight="1" x14ac:dyDescent="0.55000000000000004">
      <c r="B148" s="84" t="s">
        <v>162</v>
      </c>
      <c r="C148" s="30"/>
      <c r="D148" s="30"/>
      <c r="E148" s="30"/>
      <c r="F148" s="30"/>
      <c r="G148" s="30"/>
      <c r="H148" s="30"/>
      <c r="I148" s="51"/>
      <c r="J148" s="52"/>
      <c r="K148" s="30"/>
      <c r="L148" s="30"/>
      <c r="M148" s="51"/>
      <c r="N148" s="75"/>
      <c r="O148" s="30"/>
      <c r="P148" s="30"/>
      <c r="Q148" s="30"/>
      <c r="R148" s="30"/>
    </row>
    <row r="150" spans="2:18" ht="34.950000000000003" customHeight="1" x14ac:dyDescent="0.55000000000000004">
      <c r="B150" s="45" t="s">
        <v>163</v>
      </c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</row>
    <row r="151" spans="2:18" ht="34.950000000000003" customHeight="1" x14ac:dyDescent="0.55000000000000004">
      <c r="B151" s="62" t="s">
        <v>164</v>
      </c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</row>
    <row r="152" spans="2:18" ht="34.950000000000003" customHeight="1" x14ac:dyDescent="0.55000000000000004">
      <c r="B152" s="45" t="s">
        <v>165</v>
      </c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</row>
    <row r="153" spans="2:18" ht="34.950000000000003" customHeight="1" x14ac:dyDescent="0.55000000000000004">
      <c r="B153" s="38" t="s">
        <v>166</v>
      </c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</row>
    <row r="154" spans="2:18" ht="34.950000000000003" customHeight="1" x14ac:dyDescent="0.55000000000000004">
      <c r="B154" s="63" t="s">
        <v>167</v>
      </c>
      <c r="C154" s="30"/>
      <c r="D154" s="30"/>
      <c r="E154" s="30"/>
      <c r="F154" s="30"/>
      <c r="G154" s="30"/>
      <c r="H154" s="30"/>
      <c r="I154" s="30"/>
      <c r="J154" s="37"/>
      <c r="K154" s="38" t="s">
        <v>168</v>
      </c>
      <c r="L154" s="28"/>
      <c r="M154" s="28"/>
      <c r="N154" s="28"/>
      <c r="O154" s="28"/>
      <c r="P154" s="28"/>
      <c r="Q154" s="28"/>
      <c r="R154" s="28"/>
    </row>
    <row r="155" spans="2:18" ht="34.950000000000003" customHeight="1" x14ac:dyDescent="0.55000000000000004">
      <c r="B155" s="58"/>
      <c r="C155" s="30"/>
      <c r="D155" s="30"/>
      <c r="E155" s="30"/>
      <c r="F155" s="30"/>
      <c r="G155" s="30"/>
      <c r="H155" s="30"/>
      <c r="I155" s="30"/>
      <c r="J155" s="37"/>
      <c r="K155" s="58"/>
      <c r="L155" s="30"/>
      <c r="M155" s="30"/>
      <c r="N155" s="30"/>
      <c r="O155" s="30"/>
      <c r="P155" s="30"/>
      <c r="Q155" s="30"/>
      <c r="R155" s="30"/>
    </row>
    <row r="156" spans="2:18" ht="4.95" customHeight="1" x14ac:dyDescent="0.55000000000000004"/>
    <row r="157" spans="2:18" ht="34.950000000000003" customHeight="1" x14ac:dyDescent="0.55000000000000004">
      <c r="B157" s="65" t="s">
        <v>169</v>
      </c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2:18" ht="36.65" customHeight="1" x14ac:dyDescent="0.55000000000000004">
      <c r="B158" s="85" t="s">
        <v>171</v>
      </c>
      <c r="C158" s="86"/>
      <c r="D158" s="86"/>
      <c r="E158" s="87"/>
      <c r="F158" s="88" t="s">
        <v>170</v>
      </c>
      <c r="G158" s="86"/>
      <c r="H158" s="86"/>
      <c r="I158" s="86"/>
      <c r="J158" s="87"/>
      <c r="K158" s="89" t="s">
        <v>173</v>
      </c>
      <c r="L158" s="90"/>
      <c r="M158" s="90"/>
      <c r="N158" s="91"/>
      <c r="O158" s="66" t="s">
        <v>172</v>
      </c>
      <c r="P158" s="30"/>
      <c r="Q158" s="30"/>
      <c r="R158" s="30"/>
    </row>
    <row r="159" spans="2:18" ht="34.950000000000003" customHeight="1" x14ac:dyDescent="0.55000000000000004">
      <c r="B159" s="92"/>
      <c r="C159" s="93"/>
      <c r="D159" s="93"/>
      <c r="E159" s="94"/>
      <c r="F159" s="95"/>
      <c r="G159" s="93"/>
      <c r="H159" s="93"/>
      <c r="I159" s="93"/>
      <c r="J159" s="94"/>
      <c r="K159" s="95"/>
      <c r="L159" s="93"/>
      <c r="M159" s="93"/>
      <c r="N159" s="96"/>
      <c r="O159" s="75"/>
      <c r="P159" s="30"/>
      <c r="Q159" s="30"/>
      <c r="R159" s="30"/>
    </row>
    <row r="160" spans="2:18" ht="4.95" customHeight="1" x14ac:dyDescent="0.55000000000000004"/>
    <row r="161" spans="2:18" ht="34.950000000000003" customHeight="1" x14ac:dyDescent="0.55000000000000004">
      <c r="B161" s="46" t="s">
        <v>174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2:18" ht="35.4" customHeight="1" x14ac:dyDescent="0.55000000000000004">
      <c r="B162" s="47" t="s">
        <v>176</v>
      </c>
      <c r="C162" s="33"/>
      <c r="D162" s="97" t="s">
        <v>175</v>
      </c>
      <c r="E162" s="32"/>
      <c r="F162" s="32"/>
      <c r="G162" s="33"/>
      <c r="H162" s="97" t="s">
        <v>177</v>
      </c>
      <c r="I162" s="32"/>
      <c r="J162" s="33"/>
      <c r="K162" s="97" t="s">
        <v>178</v>
      </c>
      <c r="L162" s="32"/>
      <c r="M162" s="33"/>
      <c r="N162" s="49" t="s">
        <v>179</v>
      </c>
      <c r="O162" s="32"/>
      <c r="P162" s="32"/>
      <c r="Q162" s="32"/>
      <c r="R162" s="32"/>
    </row>
    <row r="163" spans="2:18" ht="34.950000000000003" customHeight="1" x14ac:dyDescent="0.55000000000000004">
      <c r="B163" s="98"/>
      <c r="C163" s="51"/>
      <c r="D163" s="52"/>
      <c r="E163" s="30"/>
      <c r="F163" s="30"/>
      <c r="G163" s="51"/>
      <c r="H163" s="52"/>
      <c r="I163" s="30"/>
      <c r="J163" s="51"/>
      <c r="K163" s="52"/>
      <c r="L163" s="30"/>
      <c r="M163" s="51"/>
      <c r="N163" s="75"/>
      <c r="O163" s="30"/>
      <c r="P163" s="30"/>
      <c r="Q163" s="30"/>
      <c r="R163" s="30"/>
    </row>
    <row r="164" spans="2:18" ht="34.950000000000003" customHeight="1" x14ac:dyDescent="0.55000000000000004">
      <c r="B164" s="98"/>
      <c r="C164" s="51"/>
      <c r="D164" s="52"/>
      <c r="E164" s="30"/>
      <c r="F164" s="30"/>
      <c r="G164" s="51"/>
      <c r="H164" s="52"/>
      <c r="I164" s="30"/>
      <c r="J164" s="51"/>
      <c r="K164" s="52"/>
      <c r="L164" s="30"/>
      <c r="M164" s="51"/>
      <c r="N164" s="75"/>
      <c r="O164" s="30"/>
      <c r="P164" s="30"/>
      <c r="Q164" s="30"/>
      <c r="R164" s="30"/>
    </row>
    <row r="165" spans="2:18" ht="34.950000000000003" customHeight="1" x14ac:dyDescent="0.55000000000000004">
      <c r="B165" s="98"/>
      <c r="C165" s="51"/>
      <c r="D165" s="52"/>
      <c r="E165" s="30"/>
      <c r="F165" s="30"/>
      <c r="G165" s="51"/>
      <c r="H165" s="52"/>
      <c r="I165" s="30"/>
      <c r="J165" s="51"/>
      <c r="K165" s="52"/>
      <c r="L165" s="30"/>
      <c r="M165" s="51"/>
      <c r="N165" s="75"/>
      <c r="O165" s="30"/>
      <c r="P165" s="30"/>
      <c r="Q165" s="30"/>
      <c r="R165" s="30"/>
    </row>
    <row r="166" spans="2:18" ht="34.950000000000003" customHeight="1" x14ac:dyDescent="0.55000000000000004">
      <c r="B166" s="98"/>
      <c r="C166" s="51"/>
      <c r="D166" s="52"/>
      <c r="E166" s="30"/>
      <c r="F166" s="30"/>
      <c r="G166" s="51"/>
      <c r="H166" s="52"/>
      <c r="I166" s="30"/>
      <c r="J166" s="51"/>
      <c r="K166" s="52"/>
      <c r="L166" s="30"/>
      <c r="M166" s="51"/>
      <c r="N166" s="75"/>
      <c r="O166" s="30"/>
      <c r="P166" s="30"/>
      <c r="Q166" s="30"/>
      <c r="R166" s="30"/>
    </row>
    <row r="167" spans="2:18" ht="34.950000000000003" customHeight="1" x14ac:dyDescent="0.55000000000000004">
      <c r="B167" s="98"/>
      <c r="C167" s="51"/>
      <c r="D167" s="52"/>
      <c r="E167" s="30"/>
      <c r="F167" s="30"/>
      <c r="G167" s="51"/>
      <c r="H167" s="52"/>
      <c r="I167" s="30"/>
      <c r="J167" s="51"/>
      <c r="K167" s="52"/>
      <c r="L167" s="30"/>
      <c r="M167" s="51"/>
      <c r="N167" s="75"/>
      <c r="O167" s="30"/>
      <c r="P167" s="30"/>
      <c r="Q167" s="30"/>
      <c r="R167" s="30"/>
    </row>
    <row r="168" spans="2:18" ht="34.950000000000003" customHeight="1" x14ac:dyDescent="0.55000000000000004">
      <c r="B168" s="98"/>
      <c r="C168" s="51"/>
      <c r="D168" s="52"/>
      <c r="E168" s="30"/>
      <c r="F168" s="30"/>
      <c r="G168" s="51"/>
      <c r="H168" s="52"/>
      <c r="I168" s="30"/>
      <c r="J168" s="51"/>
      <c r="K168" s="52"/>
      <c r="L168" s="30"/>
      <c r="M168" s="51"/>
      <c r="N168" s="75"/>
      <c r="O168" s="30"/>
      <c r="P168" s="30"/>
      <c r="Q168" s="30"/>
      <c r="R168" s="30"/>
    </row>
    <row r="170" spans="2:18" ht="34.950000000000003" customHeight="1" x14ac:dyDescent="0.55000000000000004">
      <c r="B170" s="46" t="s">
        <v>180</v>
      </c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2:18" ht="34.950000000000003" customHeight="1" x14ac:dyDescent="0.55000000000000004">
      <c r="B171" s="46" t="s">
        <v>181</v>
      </c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2:18" ht="34.950000000000003" customHeight="1" x14ac:dyDescent="0.55000000000000004">
      <c r="B172" s="46" t="s">
        <v>182</v>
      </c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2:18" ht="34.950000000000003" customHeight="1" x14ac:dyDescent="0.55000000000000004">
      <c r="B173" s="99" t="s">
        <v>183</v>
      </c>
      <c r="C173" s="32"/>
      <c r="D173" s="32"/>
      <c r="E173" s="32"/>
      <c r="F173" s="32"/>
      <c r="G173" s="32"/>
      <c r="H173" s="32"/>
      <c r="I173" s="32"/>
      <c r="J173" s="32"/>
      <c r="K173" s="32"/>
      <c r="L173" s="33"/>
      <c r="M173" s="100"/>
      <c r="N173" s="35"/>
      <c r="O173" s="35"/>
      <c r="P173" s="35"/>
      <c r="Q173" s="35"/>
      <c r="R173" s="35"/>
    </row>
    <row r="174" spans="2:18" ht="34.950000000000003" customHeight="1" x14ac:dyDescent="0.55000000000000004">
      <c r="B174" s="36" t="s">
        <v>184</v>
      </c>
      <c r="C174" s="30"/>
      <c r="D174" s="30"/>
      <c r="E174" s="30"/>
      <c r="F174" s="30"/>
      <c r="G174" s="30"/>
      <c r="H174" s="30"/>
      <c r="I174" s="30"/>
      <c r="J174" s="30"/>
      <c r="K174" s="30"/>
      <c r="L174" s="37"/>
      <c r="M174" s="101"/>
      <c r="N174" s="28"/>
      <c r="O174" s="28"/>
      <c r="P174" s="28"/>
      <c r="Q174" s="28"/>
      <c r="R174" s="28"/>
    </row>
    <row r="175" spans="2:18" ht="34.950000000000003" customHeight="1" x14ac:dyDescent="0.55000000000000004">
      <c r="B175" s="36" t="s">
        <v>185</v>
      </c>
      <c r="C175" s="30"/>
      <c r="D175" s="30"/>
      <c r="E175" s="30"/>
      <c r="F175" s="30"/>
      <c r="G175" s="30"/>
      <c r="H175" s="30"/>
      <c r="I175" s="30"/>
      <c r="J175" s="30"/>
      <c r="K175" s="30"/>
      <c r="L175" s="37"/>
      <c r="M175" s="101"/>
      <c r="N175" s="28"/>
      <c r="O175" s="28"/>
      <c r="P175" s="28"/>
      <c r="Q175" s="28"/>
      <c r="R175" s="28"/>
    </row>
    <row r="176" spans="2:18" ht="34.950000000000003" customHeight="1" x14ac:dyDescent="0.55000000000000004">
      <c r="B176" s="36" t="s">
        <v>186</v>
      </c>
      <c r="C176" s="30"/>
      <c r="D176" s="30"/>
      <c r="E176" s="30"/>
      <c r="F176" s="30"/>
      <c r="G176" s="30"/>
      <c r="H176" s="30"/>
      <c r="I176" s="30"/>
      <c r="J176" s="30"/>
      <c r="K176" s="30"/>
      <c r="L176" s="37"/>
      <c r="M176" s="101"/>
      <c r="N176" s="28"/>
      <c r="O176" s="28"/>
      <c r="P176" s="28"/>
      <c r="Q176" s="28"/>
      <c r="R176" s="28"/>
    </row>
    <row r="177" spans="2:18" ht="34.950000000000003" customHeight="1" x14ac:dyDescent="0.55000000000000004">
      <c r="B177" s="36" t="s">
        <v>187</v>
      </c>
      <c r="C177" s="30"/>
      <c r="D177" s="30"/>
      <c r="E177" s="30"/>
      <c r="F177" s="30"/>
      <c r="G177" s="30"/>
      <c r="H177" s="30"/>
      <c r="I177" s="30"/>
      <c r="J177" s="30"/>
      <c r="K177" s="30"/>
      <c r="L177" s="37"/>
      <c r="M177" s="66"/>
      <c r="N177" s="30"/>
      <c r="O177" s="30"/>
      <c r="P177" s="30"/>
      <c r="Q177" s="30"/>
      <c r="R177" s="30"/>
    </row>
    <row r="178" spans="2:18" ht="4.95" customHeight="1" x14ac:dyDescent="0.55000000000000004"/>
    <row r="179" spans="2:18" ht="34.950000000000003" customHeight="1" x14ac:dyDescent="0.55000000000000004">
      <c r="B179" s="102" t="s">
        <v>188</v>
      </c>
      <c r="C179" s="30"/>
      <c r="D179" s="30"/>
      <c r="E179" s="30"/>
      <c r="F179" s="30"/>
      <c r="G179" s="30"/>
      <c r="H179" s="30"/>
      <c r="I179" s="30"/>
      <c r="J179" s="30"/>
      <c r="K179" s="30"/>
      <c r="L179" s="51"/>
      <c r="M179" s="103" t="s">
        <v>189</v>
      </c>
      <c r="N179" s="30"/>
      <c r="O179" s="30"/>
      <c r="P179" s="104" t="s">
        <v>190</v>
      </c>
      <c r="Q179" s="30"/>
      <c r="R179" s="30"/>
    </row>
    <row r="180" spans="2:18" ht="34.950000000000003" customHeight="1" x14ac:dyDescent="0.55000000000000004">
      <c r="B180" s="105" t="s">
        <v>191</v>
      </c>
      <c r="C180" s="30"/>
      <c r="D180" s="30"/>
      <c r="E180" s="30"/>
      <c r="F180" s="30"/>
      <c r="G180" s="30"/>
      <c r="H180" s="30"/>
      <c r="I180" s="30"/>
      <c r="J180" s="30"/>
      <c r="K180" s="30"/>
      <c r="L180" s="51"/>
      <c r="M180" s="106"/>
      <c r="N180" s="30"/>
      <c r="O180" s="30"/>
      <c r="P180" s="66"/>
      <c r="Q180" s="30"/>
      <c r="R180" s="30"/>
    </row>
    <row r="181" spans="2:18" ht="34.950000000000003" customHeight="1" x14ac:dyDescent="0.55000000000000004">
      <c r="B181" s="105" t="s">
        <v>192</v>
      </c>
      <c r="C181" s="30"/>
      <c r="D181" s="30"/>
      <c r="E181" s="30"/>
      <c r="F181" s="30"/>
      <c r="G181" s="30"/>
      <c r="H181" s="30"/>
      <c r="I181" s="30"/>
      <c r="J181" s="30"/>
      <c r="K181" s="30"/>
      <c r="L181" s="51"/>
      <c r="M181" s="106"/>
      <c r="N181" s="30"/>
      <c r="O181" s="30"/>
      <c r="P181" s="66"/>
      <c r="Q181" s="30"/>
      <c r="R181" s="30"/>
    </row>
    <row r="182" spans="2:18" ht="34.950000000000003" customHeight="1" x14ac:dyDescent="0.55000000000000004">
      <c r="B182" s="105" t="s">
        <v>193</v>
      </c>
      <c r="C182" s="30"/>
      <c r="D182" s="30"/>
      <c r="E182" s="30"/>
      <c r="F182" s="30"/>
      <c r="G182" s="30"/>
      <c r="H182" s="30"/>
      <c r="I182" s="30"/>
      <c r="J182" s="30"/>
      <c r="K182" s="30"/>
      <c r="L182" s="51"/>
      <c r="M182" s="106"/>
      <c r="N182" s="30"/>
      <c r="O182" s="30"/>
      <c r="P182" s="66"/>
      <c r="Q182" s="30"/>
      <c r="R182" s="30"/>
    </row>
    <row r="183" spans="2:18" ht="34.950000000000003" customHeight="1" x14ac:dyDescent="0.55000000000000004">
      <c r="B183" s="105" t="s">
        <v>194</v>
      </c>
      <c r="C183" s="30"/>
      <c r="D183" s="30"/>
      <c r="E183" s="30"/>
      <c r="F183" s="30"/>
      <c r="G183" s="30"/>
      <c r="H183" s="30"/>
      <c r="I183" s="30"/>
      <c r="J183" s="30"/>
      <c r="K183" s="30"/>
      <c r="L183" s="51"/>
      <c r="M183" s="106"/>
      <c r="N183" s="30"/>
      <c r="O183" s="30"/>
      <c r="P183" s="66"/>
      <c r="Q183" s="30"/>
      <c r="R183" s="30"/>
    </row>
    <row r="184" spans="2:18" ht="34.950000000000003" customHeight="1" x14ac:dyDescent="0.55000000000000004">
      <c r="B184" s="105" t="s">
        <v>195</v>
      </c>
      <c r="C184" s="30"/>
      <c r="D184" s="30"/>
      <c r="E184" s="30"/>
      <c r="F184" s="30"/>
      <c r="G184" s="30"/>
      <c r="H184" s="30"/>
      <c r="I184" s="30"/>
      <c r="J184" s="30"/>
      <c r="K184" s="30"/>
      <c r="L184" s="51"/>
      <c r="M184" s="106"/>
      <c r="N184" s="30"/>
      <c r="O184" s="30"/>
      <c r="P184" s="66"/>
      <c r="Q184" s="30"/>
      <c r="R184" s="30"/>
    </row>
    <row r="185" spans="2:18" ht="4.95" customHeight="1" x14ac:dyDescent="0.55000000000000004"/>
    <row r="186" spans="2:18" ht="34.950000000000003" customHeight="1" x14ac:dyDescent="0.55000000000000004">
      <c r="B186" s="102" t="s">
        <v>196</v>
      </c>
      <c r="C186" s="30"/>
      <c r="D186" s="30"/>
      <c r="E186" s="30"/>
      <c r="F186" s="30"/>
      <c r="G186" s="30"/>
      <c r="H186" s="30"/>
      <c r="I186" s="30"/>
      <c r="J186" s="30"/>
      <c r="K186" s="30"/>
      <c r="L186" s="51"/>
      <c r="M186" s="103" t="s">
        <v>197</v>
      </c>
      <c r="N186" s="30"/>
      <c r="O186" s="37"/>
      <c r="P186" s="76" t="s">
        <v>198</v>
      </c>
      <c r="Q186" s="28"/>
      <c r="R186" s="28"/>
    </row>
    <row r="187" spans="2:18" ht="34.950000000000003" customHeight="1" x14ac:dyDescent="0.55000000000000004">
      <c r="B187" s="105" t="s">
        <v>199</v>
      </c>
      <c r="C187" s="30"/>
      <c r="D187" s="30"/>
      <c r="E187" s="30"/>
      <c r="F187" s="30"/>
      <c r="G187" s="30"/>
      <c r="H187" s="30"/>
      <c r="I187" s="30"/>
      <c r="J187" s="30"/>
      <c r="K187" s="30"/>
      <c r="L187" s="51"/>
      <c r="M187" s="106"/>
      <c r="N187" s="30"/>
      <c r="O187" s="37"/>
      <c r="P187" s="65"/>
      <c r="Q187" s="30"/>
      <c r="R187" s="30"/>
    </row>
    <row r="189" spans="2:18" ht="30" customHeight="1" x14ac:dyDescent="0.55000000000000004">
      <c r="B189" s="46" t="s">
        <v>200</v>
      </c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2:18" ht="30" customHeight="1" x14ac:dyDescent="0.55000000000000004">
      <c r="B190" s="36" t="s">
        <v>201</v>
      </c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7"/>
      <c r="O190" s="75"/>
      <c r="P190" s="30"/>
      <c r="Q190" s="30"/>
      <c r="R190" s="30"/>
    </row>
    <row r="191" spans="2:18" ht="30" customHeight="1" x14ac:dyDescent="0.55000000000000004">
      <c r="B191" s="36" t="s">
        <v>202</v>
      </c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7"/>
      <c r="O191" s="75"/>
      <c r="P191" s="30"/>
      <c r="Q191" s="30"/>
      <c r="R191" s="30"/>
    </row>
    <row r="192" spans="2:18" ht="30" customHeight="1" x14ac:dyDescent="0.55000000000000004">
      <c r="B192" s="36" t="s">
        <v>203</v>
      </c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7"/>
      <c r="O192" s="75"/>
      <c r="P192" s="30"/>
      <c r="Q192" s="30"/>
      <c r="R192" s="30"/>
    </row>
    <row r="193" spans="2:18" ht="30" customHeight="1" x14ac:dyDescent="0.55000000000000004">
      <c r="B193" s="36" t="s">
        <v>204</v>
      </c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7"/>
      <c r="O193" s="75"/>
      <c r="P193" s="30"/>
      <c r="Q193" s="30"/>
      <c r="R193" s="30"/>
    </row>
    <row r="194" spans="2:18" ht="30" customHeight="1" x14ac:dyDescent="0.55000000000000004">
      <c r="B194" s="36" t="s">
        <v>205</v>
      </c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7"/>
      <c r="O194" s="75">
        <f>O191+O192-O193</f>
        <v>0</v>
      </c>
      <c r="P194" s="30"/>
      <c r="Q194" s="30"/>
      <c r="R194" s="30"/>
    </row>
    <row r="195" spans="2:18" ht="4.95" customHeight="1" x14ac:dyDescent="0.55000000000000004"/>
    <row r="196" spans="2:18" ht="30" customHeight="1" x14ac:dyDescent="0.55000000000000004">
      <c r="B196" s="46" t="s">
        <v>206</v>
      </c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2:18" ht="30" customHeight="1" x14ac:dyDescent="0.55000000000000004">
      <c r="B197" s="36" t="s">
        <v>207</v>
      </c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7"/>
      <c r="O197" s="66" t="s">
        <v>311</v>
      </c>
      <c r="P197" s="30"/>
      <c r="Q197" s="30"/>
      <c r="R197" s="30"/>
    </row>
    <row r="198" spans="2:18" ht="4.95" customHeight="1" x14ac:dyDescent="0.55000000000000004"/>
    <row r="199" spans="2:18" ht="30" customHeight="1" x14ac:dyDescent="0.55000000000000004">
      <c r="B199" s="46" t="s">
        <v>208</v>
      </c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2:18" ht="30" customHeight="1" x14ac:dyDescent="0.55000000000000004">
      <c r="B200" s="47" t="s">
        <v>209</v>
      </c>
      <c r="C200" s="97" t="s">
        <v>210</v>
      </c>
      <c r="D200" s="35"/>
      <c r="E200" s="70"/>
      <c r="F200" s="108" t="s">
        <v>211</v>
      </c>
      <c r="G200" s="32"/>
      <c r="H200" s="32"/>
      <c r="I200" s="32"/>
      <c r="J200" s="32"/>
      <c r="K200" s="32"/>
      <c r="L200" s="32"/>
      <c r="M200" s="32"/>
      <c r="N200" s="32"/>
      <c r="O200" s="33"/>
      <c r="P200" s="49" t="s">
        <v>212</v>
      </c>
      <c r="Q200" s="35"/>
      <c r="R200" s="35"/>
    </row>
    <row r="201" spans="2:18" ht="30" customHeight="1" x14ac:dyDescent="0.55000000000000004">
      <c r="B201" s="33"/>
      <c r="C201" s="107"/>
      <c r="D201" s="32"/>
      <c r="E201" s="33"/>
      <c r="F201" s="83" t="s">
        <v>213</v>
      </c>
      <c r="G201" s="30"/>
      <c r="H201" s="51"/>
      <c r="I201" s="83" t="s">
        <v>214</v>
      </c>
      <c r="J201" s="51"/>
      <c r="K201" s="83" t="s">
        <v>159</v>
      </c>
      <c r="L201" s="51"/>
      <c r="M201" s="66" t="s">
        <v>158</v>
      </c>
      <c r="N201" s="30"/>
      <c r="O201" s="30"/>
      <c r="P201" s="107"/>
      <c r="Q201" s="32"/>
      <c r="R201" s="32"/>
    </row>
    <row r="202" spans="2:18" ht="30" customHeight="1" x14ac:dyDescent="0.55000000000000004">
      <c r="B202" s="3" t="s">
        <v>215</v>
      </c>
      <c r="C202" s="50"/>
      <c r="D202" s="30"/>
      <c r="E202" s="51"/>
      <c r="F202" s="52"/>
      <c r="G202" s="30"/>
      <c r="H202" s="51"/>
      <c r="I202" s="52"/>
      <c r="J202" s="51"/>
      <c r="K202" s="52"/>
      <c r="L202" s="51"/>
      <c r="M202" s="75"/>
      <c r="N202" s="30"/>
      <c r="O202" s="30"/>
      <c r="P202" s="75"/>
      <c r="Q202" s="30"/>
      <c r="R202" s="30"/>
    </row>
    <row r="203" spans="2:18" ht="30" customHeight="1" x14ac:dyDescent="0.55000000000000004">
      <c r="B203" s="3" t="s">
        <v>216</v>
      </c>
      <c r="C203" s="50"/>
      <c r="D203" s="30"/>
      <c r="E203" s="51"/>
      <c r="F203" s="83" t="s">
        <v>217</v>
      </c>
      <c r="G203" s="30"/>
      <c r="H203" s="51"/>
      <c r="I203" s="52"/>
      <c r="J203" s="51"/>
      <c r="K203" s="52"/>
      <c r="L203" s="51"/>
      <c r="M203" s="75"/>
      <c r="N203" s="30"/>
      <c r="O203" s="30"/>
      <c r="P203" s="75"/>
      <c r="Q203" s="30"/>
      <c r="R203" s="30"/>
    </row>
    <row r="204" spans="2:18" ht="30" customHeight="1" x14ac:dyDescent="0.55000000000000004">
      <c r="B204" s="3" t="s">
        <v>218</v>
      </c>
      <c r="C204" s="50"/>
      <c r="D204" s="30"/>
      <c r="E204" s="51"/>
      <c r="F204" s="83" t="s">
        <v>217</v>
      </c>
      <c r="G204" s="30"/>
      <c r="H204" s="51"/>
      <c r="I204" s="83" t="s">
        <v>217</v>
      </c>
      <c r="J204" s="51"/>
      <c r="K204" s="52"/>
      <c r="L204" s="51"/>
      <c r="M204" s="75"/>
      <c r="N204" s="30"/>
      <c r="O204" s="30"/>
      <c r="P204" s="75"/>
      <c r="Q204" s="30"/>
      <c r="R204" s="30"/>
    </row>
    <row r="205" spans="2:18" ht="30" customHeight="1" x14ac:dyDescent="0.55000000000000004">
      <c r="B205" s="3" t="s">
        <v>219</v>
      </c>
      <c r="C205" s="50"/>
      <c r="D205" s="30"/>
      <c r="E205" s="51"/>
      <c r="F205" s="83" t="s">
        <v>217</v>
      </c>
      <c r="G205" s="30"/>
      <c r="H205" s="51"/>
      <c r="I205" s="83" t="s">
        <v>217</v>
      </c>
      <c r="J205" s="51"/>
      <c r="K205" s="83" t="s">
        <v>217</v>
      </c>
      <c r="L205" s="51"/>
      <c r="M205" s="75"/>
      <c r="N205" s="30"/>
      <c r="O205" s="30"/>
      <c r="P205" s="75"/>
      <c r="Q205" s="30"/>
      <c r="R205" s="30"/>
    </row>
    <row r="206" spans="2:18" ht="30" customHeight="1" x14ac:dyDescent="0.55000000000000004">
      <c r="B206" s="3" t="s">
        <v>158</v>
      </c>
      <c r="C206" s="50"/>
      <c r="D206" s="30"/>
      <c r="E206" s="51"/>
      <c r="F206" s="83" t="s">
        <v>217</v>
      </c>
      <c r="G206" s="30"/>
      <c r="H206" s="51"/>
      <c r="I206" s="83" t="s">
        <v>217</v>
      </c>
      <c r="J206" s="51"/>
      <c r="K206" s="83" t="s">
        <v>217</v>
      </c>
      <c r="L206" s="51"/>
      <c r="M206" s="66" t="s">
        <v>217</v>
      </c>
      <c r="N206" s="30"/>
      <c r="O206" s="30"/>
      <c r="P206" s="109" t="s">
        <v>217</v>
      </c>
      <c r="Q206" s="30"/>
      <c r="R206" s="30"/>
    </row>
    <row r="207" spans="2:18" ht="4.95" customHeight="1" x14ac:dyDescent="0.55000000000000004"/>
    <row r="208" spans="2:18" ht="30" customHeight="1" x14ac:dyDescent="0.55000000000000004">
      <c r="B208" s="46" t="s">
        <v>220</v>
      </c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2:18" ht="30" customHeight="1" x14ac:dyDescent="0.55000000000000004">
      <c r="B209" s="47" t="s">
        <v>221</v>
      </c>
      <c r="C209" s="32"/>
      <c r="D209" s="32"/>
      <c r="E209" s="32"/>
      <c r="F209" s="33"/>
      <c r="G209" s="83" t="s">
        <v>222</v>
      </c>
      <c r="H209" s="30"/>
      <c r="I209" s="30"/>
      <c r="J209" s="30"/>
      <c r="K209" s="30"/>
      <c r="L209" s="37"/>
      <c r="M209" s="66" t="s">
        <v>223</v>
      </c>
      <c r="N209" s="30"/>
      <c r="O209" s="30"/>
      <c r="P209" s="30"/>
      <c r="Q209" s="30"/>
      <c r="R209" s="30"/>
    </row>
    <row r="210" spans="2:18" ht="30" customHeight="1" x14ac:dyDescent="0.55000000000000004">
      <c r="B210" s="50"/>
      <c r="C210" s="30"/>
      <c r="D210" s="30"/>
      <c r="E210" s="30"/>
      <c r="F210" s="51"/>
      <c r="G210" s="52"/>
      <c r="H210" s="30"/>
      <c r="I210" s="30"/>
      <c r="J210" s="30"/>
      <c r="K210" s="30"/>
      <c r="L210" s="37"/>
      <c r="M210" s="53"/>
      <c r="N210" s="30"/>
      <c r="O210" s="30"/>
      <c r="P210" s="30"/>
      <c r="Q210" s="30"/>
      <c r="R210" s="30"/>
    </row>
  </sheetData>
  <mergeCells count="416">
    <mergeCell ref="B210:F210"/>
    <mergeCell ref="G210:L210"/>
    <mergeCell ref="M210:R210"/>
    <mergeCell ref="C206:E206"/>
    <mergeCell ref="F206:H206"/>
    <mergeCell ref="I206:J206"/>
    <mergeCell ref="K206:L206"/>
    <mergeCell ref="M206:O206"/>
    <mergeCell ref="P206:R206"/>
    <mergeCell ref="B208:R208"/>
    <mergeCell ref="B209:F209"/>
    <mergeCell ref="G209:L209"/>
    <mergeCell ref="M209:R209"/>
    <mergeCell ref="C204:E204"/>
    <mergeCell ref="F204:H204"/>
    <mergeCell ref="I204:J204"/>
    <mergeCell ref="K204:L204"/>
    <mergeCell ref="M204:O204"/>
    <mergeCell ref="P204:R204"/>
    <mergeCell ref="C205:E205"/>
    <mergeCell ref="F205:H205"/>
    <mergeCell ref="I205:J205"/>
    <mergeCell ref="K205:L205"/>
    <mergeCell ref="M205:O205"/>
    <mergeCell ref="P205:R205"/>
    <mergeCell ref="C202:E202"/>
    <mergeCell ref="F202:H202"/>
    <mergeCell ref="I202:J202"/>
    <mergeCell ref="K202:L202"/>
    <mergeCell ref="M202:O202"/>
    <mergeCell ref="P202:R202"/>
    <mergeCell ref="C203:E203"/>
    <mergeCell ref="F203:H203"/>
    <mergeCell ref="I203:J203"/>
    <mergeCell ref="K203:L203"/>
    <mergeCell ref="M203:O203"/>
    <mergeCell ref="P203:R203"/>
    <mergeCell ref="B193:N193"/>
    <mergeCell ref="O193:R193"/>
    <mergeCell ref="B194:N194"/>
    <mergeCell ref="O194:R194"/>
    <mergeCell ref="B196:R196"/>
    <mergeCell ref="B197:N197"/>
    <mergeCell ref="O197:R197"/>
    <mergeCell ref="B199:R199"/>
    <mergeCell ref="B200:B201"/>
    <mergeCell ref="C200:E201"/>
    <mergeCell ref="F200:O200"/>
    <mergeCell ref="P200:R201"/>
    <mergeCell ref="F201:H201"/>
    <mergeCell ref="I201:J201"/>
    <mergeCell ref="K201:L201"/>
    <mergeCell ref="M201:O201"/>
    <mergeCell ref="B187:L187"/>
    <mergeCell ref="M187:O187"/>
    <mergeCell ref="P187:R187"/>
    <mergeCell ref="B189:R189"/>
    <mergeCell ref="B190:N190"/>
    <mergeCell ref="O190:R190"/>
    <mergeCell ref="B191:N191"/>
    <mergeCell ref="O191:R191"/>
    <mergeCell ref="B192:N192"/>
    <mergeCell ref="O192:R192"/>
    <mergeCell ref="B183:L183"/>
    <mergeCell ref="M183:O183"/>
    <mergeCell ref="P183:R183"/>
    <mergeCell ref="B184:L184"/>
    <mergeCell ref="M184:O184"/>
    <mergeCell ref="P184:R184"/>
    <mergeCell ref="B186:L186"/>
    <mergeCell ref="M186:O186"/>
    <mergeCell ref="P186:R186"/>
    <mergeCell ref="B180:L180"/>
    <mergeCell ref="M180:O180"/>
    <mergeCell ref="P180:R180"/>
    <mergeCell ref="B181:L181"/>
    <mergeCell ref="M181:O181"/>
    <mergeCell ref="P181:R181"/>
    <mergeCell ref="B182:L182"/>
    <mergeCell ref="M182:O182"/>
    <mergeCell ref="P182:R182"/>
    <mergeCell ref="B174:L174"/>
    <mergeCell ref="M174:R174"/>
    <mergeCell ref="B175:L175"/>
    <mergeCell ref="M175:R175"/>
    <mergeCell ref="B176:L176"/>
    <mergeCell ref="M176:R176"/>
    <mergeCell ref="B177:L177"/>
    <mergeCell ref="M177:R177"/>
    <mergeCell ref="B179:L179"/>
    <mergeCell ref="M179:O179"/>
    <mergeCell ref="P179:R179"/>
    <mergeCell ref="B168:C168"/>
    <mergeCell ref="D168:G168"/>
    <mergeCell ref="H168:J168"/>
    <mergeCell ref="K168:M168"/>
    <mergeCell ref="N168:R168"/>
    <mergeCell ref="B170:R170"/>
    <mergeCell ref="B171:R171"/>
    <mergeCell ref="B172:R172"/>
    <mergeCell ref="B173:L173"/>
    <mergeCell ref="M173:R173"/>
    <mergeCell ref="B166:C166"/>
    <mergeCell ref="D166:G166"/>
    <mergeCell ref="H166:J166"/>
    <mergeCell ref="K166:M166"/>
    <mergeCell ref="N166:R166"/>
    <mergeCell ref="B167:C167"/>
    <mergeCell ref="D167:G167"/>
    <mergeCell ref="H167:J167"/>
    <mergeCell ref="K167:M167"/>
    <mergeCell ref="N167:R167"/>
    <mergeCell ref="B164:C164"/>
    <mergeCell ref="D164:G164"/>
    <mergeCell ref="H164:J164"/>
    <mergeCell ref="K164:M164"/>
    <mergeCell ref="N164:R164"/>
    <mergeCell ref="B165:C165"/>
    <mergeCell ref="D165:G165"/>
    <mergeCell ref="H165:J165"/>
    <mergeCell ref="K165:M165"/>
    <mergeCell ref="N165:R165"/>
    <mergeCell ref="B161:R161"/>
    <mergeCell ref="B162:C162"/>
    <mergeCell ref="D162:G162"/>
    <mergeCell ref="H162:J162"/>
    <mergeCell ref="K162:M162"/>
    <mergeCell ref="N162:R162"/>
    <mergeCell ref="B163:C163"/>
    <mergeCell ref="D163:G163"/>
    <mergeCell ref="H163:J163"/>
    <mergeCell ref="K163:M163"/>
    <mergeCell ref="N163:R163"/>
    <mergeCell ref="B155:J155"/>
    <mergeCell ref="K155:R155"/>
    <mergeCell ref="B157:R157"/>
    <mergeCell ref="B158:E158"/>
    <mergeCell ref="F158:J158"/>
    <mergeCell ref="K158:N158"/>
    <mergeCell ref="O158:R158"/>
    <mergeCell ref="B159:E159"/>
    <mergeCell ref="F159:J159"/>
    <mergeCell ref="K159:N159"/>
    <mergeCell ref="O159:R159"/>
    <mergeCell ref="B148:I148"/>
    <mergeCell ref="J148:M148"/>
    <mergeCell ref="N148:R148"/>
    <mergeCell ref="B150:R150"/>
    <mergeCell ref="B151:R151"/>
    <mergeCell ref="B152:R152"/>
    <mergeCell ref="B153:R153"/>
    <mergeCell ref="B154:J154"/>
    <mergeCell ref="K154:R154"/>
    <mergeCell ref="B145:I145"/>
    <mergeCell ref="J145:M145"/>
    <mergeCell ref="N145:R145"/>
    <mergeCell ref="B146:I146"/>
    <mergeCell ref="J146:M146"/>
    <mergeCell ref="N146:R146"/>
    <mergeCell ref="B147:I147"/>
    <mergeCell ref="J147:M147"/>
    <mergeCell ref="N147:R147"/>
    <mergeCell ref="B139:R139"/>
    <mergeCell ref="B140:R140"/>
    <mergeCell ref="B141:N141"/>
    <mergeCell ref="O141:R141"/>
    <mergeCell ref="B142:N142"/>
    <mergeCell ref="O142:R142"/>
    <mergeCell ref="B143:N143"/>
    <mergeCell ref="O143:R143"/>
    <mergeCell ref="B144:R144"/>
    <mergeCell ref="B135:E135"/>
    <mergeCell ref="F135:L135"/>
    <mergeCell ref="M135:R135"/>
    <mergeCell ref="B136:E136"/>
    <mergeCell ref="F136:L136"/>
    <mergeCell ref="M136:R136"/>
    <mergeCell ref="B137:E137"/>
    <mergeCell ref="F137:L137"/>
    <mergeCell ref="M137:R137"/>
    <mergeCell ref="B131:R131"/>
    <mergeCell ref="B132:E132"/>
    <mergeCell ref="F132:L132"/>
    <mergeCell ref="M132:R132"/>
    <mergeCell ref="B133:E133"/>
    <mergeCell ref="F133:L133"/>
    <mergeCell ref="M133:R133"/>
    <mergeCell ref="B134:E134"/>
    <mergeCell ref="F134:L134"/>
    <mergeCell ref="M134:R134"/>
    <mergeCell ref="B125:N125"/>
    <mergeCell ref="O125:R125"/>
    <mergeCell ref="B126:N126"/>
    <mergeCell ref="O126:R126"/>
    <mergeCell ref="B127:N127"/>
    <mergeCell ref="O127:R127"/>
    <mergeCell ref="B128:N128"/>
    <mergeCell ref="O128:R128"/>
    <mergeCell ref="B129:N129"/>
    <mergeCell ref="O129:R129"/>
    <mergeCell ref="B120:N120"/>
    <mergeCell ref="O120:R120"/>
    <mergeCell ref="B121:N121"/>
    <mergeCell ref="O121:R121"/>
    <mergeCell ref="B122:N122"/>
    <mergeCell ref="O122:R122"/>
    <mergeCell ref="B123:N123"/>
    <mergeCell ref="O123:R123"/>
    <mergeCell ref="B124:N124"/>
    <mergeCell ref="O124:R124"/>
    <mergeCell ref="B115:N115"/>
    <mergeCell ref="O115:R115"/>
    <mergeCell ref="B116:N116"/>
    <mergeCell ref="O116:R116"/>
    <mergeCell ref="B117:N117"/>
    <mergeCell ref="O117:R117"/>
    <mergeCell ref="B118:N118"/>
    <mergeCell ref="O118:R118"/>
    <mergeCell ref="B119:N119"/>
    <mergeCell ref="O119:R119"/>
    <mergeCell ref="B109:N109"/>
    <mergeCell ref="O109:R109"/>
    <mergeCell ref="B111:R111"/>
    <mergeCell ref="B112:N112"/>
    <mergeCell ref="O112:R112"/>
    <mergeCell ref="B113:N113"/>
    <mergeCell ref="O113:R113"/>
    <mergeCell ref="B114:N114"/>
    <mergeCell ref="O114:R114"/>
    <mergeCell ref="B105:N105"/>
    <mergeCell ref="O105:R105"/>
    <mergeCell ref="B106:D108"/>
    <mergeCell ref="E106:N106"/>
    <mergeCell ref="O106:R106"/>
    <mergeCell ref="E107:N107"/>
    <mergeCell ref="O107:R107"/>
    <mergeCell ref="E108:N108"/>
    <mergeCell ref="O108:R108"/>
    <mergeCell ref="B96:I96"/>
    <mergeCell ref="J96:R96"/>
    <mergeCell ref="B98:R98"/>
    <mergeCell ref="B99:R99"/>
    <mergeCell ref="B100:R100"/>
    <mergeCell ref="B101:D104"/>
    <mergeCell ref="E101:N101"/>
    <mergeCell ref="O101:R101"/>
    <mergeCell ref="E102:N102"/>
    <mergeCell ref="O102:R102"/>
    <mergeCell ref="E103:N103"/>
    <mergeCell ref="O103:R103"/>
    <mergeCell ref="E104:N104"/>
    <mergeCell ref="O104:R104"/>
    <mergeCell ref="B93:D93"/>
    <mergeCell ref="E93:I93"/>
    <mergeCell ref="J93:R93"/>
    <mergeCell ref="B94:D94"/>
    <mergeCell ref="E94:I94"/>
    <mergeCell ref="J94:R94"/>
    <mergeCell ref="B95:D95"/>
    <mergeCell ref="E95:I95"/>
    <mergeCell ref="J95:R95"/>
    <mergeCell ref="B87:N87"/>
    <mergeCell ref="O87:R87"/>
    <mergeCell ref="B88:N88"/>
    <mergeCell ref="O88:R88"/>
    <mergeCell ref="B89:N89"/>
    <mergeCell ref="O89:R89"/>
    <mergeCell ref="B90:N90"/>
    <mergeCell ref="O90:R90"/>
    <mergeCell ref="B92:R92"/>
    <mergeCell ref="B81:N81"/>
    <mergeCell ref="O81:R81"/>
    <mergeCell ref="B82:N82"/>
    <mergeCell ref="O82:R82"/>
    <mergeCell ref="B83:N83"/>
    <mergeCell ref="O83:R83"/>
    <mergeCell ref="B84:N84"/>
    <mergeCell ref="O84:R84"/>
    <mergeCell ref="B86:R86"/>
    <mergeCell ref="B76:N76"/>
    <mergeCell ref="O76:R76"/>
    <mergeCell ref="B77:N77"/>
    <mergeCell ref="O77:R77"/>
    <mergeCell ref="B78:N78"/>
    <mergeCell ref="O78:R78"/>
    <mergeCell ref="B79:N79"/>
    <mergeCell ref="O79:R79"/>
    <mergeCell ref="B80:N80"/>
    <mergeCell ref="O80:R80"/>
    <mergeCell ref="B71:N71"/>
    <mergeCell ref="O71:R71"/>
    <mergeCell ref="B72:N72"/>
    <mergeCell ref="O72:R72"/>
    <mergeCell ref="B73:N73"/>
    <mergeCell ref="O73:R73"/>
    <mergeCell ref="B74:N74"/>
    <mergeCell ref="O74:R74"/>
    <mergeCell ref="B75:N75"/>
    <mergeCell ref="O75:R75"/>
    <mergeCell ref="B66:N66"/>
    <mergeCell ref="O66:R66"/>
    <mergeCell ref="B67:N67"/>
    <mergeCell ref="O67:R67"/>
    <mergeCell ref="B68:N68"/>
    <mergeCell ref="O68:R68"/>
    <mergeCell ref="B69:N69"/>
    <mergeCell ref="O69:R69"/>
    <mergeCell ref="B70:N70"/>
    <mergeCell ref="O70:R70"/>
    <mergeCell ref="B60:R60"/>
    <mergeCell ref="B61:R61"/>
    <mergeCell ref="B62:N62"/>
    <mergeCell ref="O62:R62"/>
    <mergeCell ref="B63:N63"/>
    <mergeCell ref="O63:R63"/>
    <mergeCell ref="B64:N64"/>
    <mergeCell ref="O64:R64"/>
    <mergeCell ref="B65:N65"/>
    <mergeCell ref="O65:R65"/>
    <mergeCell ref="B54:N54"/>
    <mergeCell ref="O54:R54"/>
    <mergeCell ref="B55:N55"/>
    <mergeCell ref="O55:R55"/>
    <mergeCell ref="B56:N56"/>
    <mergeCell ref="O56:R56"/>
    <mergeCell ref="B57:N57"/>
    <mergeCell ref="O57:R57"/>
    <mergeCell ref="B58:N58"/>
    <mergeCell ref="O58:R58"/>
    <mergeCell ref="B49:N49"/>
    <mergeCell ref="O49:R49"/>
    <mergeCell ref="B50:N50"/>
    <mergeCell ref="O50:R50"/>
    <mergeCell ref="B51:N51"/>
    <mergeCell ref="O51:R51"/>
    <mergeCell ref="B52:N52"/>
    <mergeCell ref="O52:R52"/>
    <mergeCell ref="B53:N53"/>
    <mergeCell ref="O53:R53"/>
    <mergeCell ref="B44:N44"/>
    <mergeCell ref="O44:R44"/>
    <mergeCell ref="B45:N45"/>
    <mergeCell ref="O45:R45"/>
    <mergeCell ref="B46:N46"/>
    <mergeCell ref="O46:R46"/>
    <mergeCell ref="B47:N47"/>
    <mergeCell ref="O47:R47"/>
    <mergeCell ref="B48:N48"/>
    <mergeCell ref="O48:R48"/>
    <mergeCell ref="B39:N39"/>
    <mergeCell ref="O39:R39"/>
    <mergeCell ref="B40:N40"/>
    <mergeCell ref="O40:R40"/>
    <mergeCell ref="B41:N41"/>
    <mergeCell ref="O41:R41"/>
    <mergeCell ref="B42:N42"/>
    <mergeCell ref="O42:R42"/>
    <mergeCell ref="B43:N43"/>
    <mergeCell ref="O43:R43"/>
    <mergeCell ref="B34:N34"/>
    <mergeCell ref="O34:R34"/>
    <mergeCell ref="B35:N35"/>
    <mergeCell ref="O35:R35"/>
    <mergeCell ref="B36:N36"/>
    <mergeCell ref="O36:R36"/>
    <mergeCell ref="B37:N37"/>
    <mergeCell ref="O37:R37"/>
    <mergeCell ref="B38:N38"/>
    <mergeCell ref="O38:R38"/>
    <mergeCell ref="B29:R29"/>
    <mergeCell ref="B30:N30"/>
    <mergeCell ref="O30:R30"/>
    <mergeCell ref="B31:N31"/>
    <mergeCell ref="O31:R31"/>
    <mergeCell ref="B32:N32"/>
    <mergeCell ref="O32:R32"/>
    <mergeCell ref="B33:N33"/>
    <mergeCell ref="O33:R33"/>
    <mergeCell ref="B24:R24"/>
    <mergeCell ref="B25:R25"/>
    <mergeCell ref="B26:D26"/>
    <mergeCell ref="E26:H26"/>
    <mergeCell ref="I26:K26"/>
    <mergeCell ref="L26:N26"/>
    <mergeCell ref="O26:R26"/>
    <mergeCell ref="B27:D27"/>
    <mergeCell ref="E27:H27"/>
    <mergeCell ref="I27:K27"/>
    <mergeCell ref="L27:N27"/>
    <mergeCell ref="O27:R27"/>
    <mergeCell ref="B8:N8"/>
    <mergeCell ref="O8:R8"/>
    <mergeCell ref="B9:N9"/>
    <mergeCell ref="B10:N10"/>
    <mergeCell ref="B11:N11"/>
    <mergeCell ref="B12:N12"/>
    <mergeCell ref="B13:N13"/>
    <mergeCell ref="B14:N14"/>
    <mergeCell ref="O9:R22"/>
    <mergeCell ref="B15:N15"/>
    <mergeCell ref="B16:N16"/>
    <mergeCell ref="B17:N17"/>
    <mergeCell ref="B18:N18"/>
    <mergeCell ref="B19:N19"/>
    <mergeCell ref="B20:N20"/>
    <mergeCell ref="B21:N21"/>
    <mergeCell ref="B22:N22"/>
    <mergeCell ref="B2:R2"/>
    <mergeCell ref="B3:R3"/>
    <mergeCell ref="B4:R4"/>
    <mergeCell ref="B5:N5"/>
    <mergeCell ref="O5:R5"/>
    <mergeCell ref="B6:N6"/>
    <mergeCell ref="O6:R6"/>
    <mergeCell ref="B7:N7"/>
    <mergeCell ref="O7:R7"/>
  </mergeCells>
  <phoneticPr fontId="2" type="noConversion"/>
  <dataValidations count="2">
    <dataValidation type="list" allowBlank="1" showInputMessage="1" showErrorMessage="1" sqref="O197:R197" xr:uid="{00000000-0002-0000-0100-000000000000}">
      <formula1>"□,■"</formula1>
    </dataValidation>
    <dataValidation type="list" allowBlank="1" showInputMessage="1" showErrorMessage="1" sqref="M174:R177" xr:uid="{00000000-0002-0000-0100-000001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B2A3E-5DE8-4602-958A-A995B404DA67}">
  <sheetPr>
    <tabColor theme="5" tint="0.79998168889431442"/>
  </sheetPr>
  <dimension ref="B2:P3"/>
  <sheetViews>
    <sheetView showGridLines="0" topLeftCell="F1" workbookViewId="0">
      <selection activeCell="P14" sqref="P14"/>
    </sheetView>
  </sheetViews>
  <sheetFormatPr defaultRowHeight="17.600000000000001" x14ac:dyDescent="0.55000000000000004"/>
  <cols>
    <col min="2" max="2" width="23.140625" style="12" customWidth="1"/>
    <col min="3" max="3" width="23.140625" style="26" customWidth="1"/>
    <col min="4" max="8" width="23.140625" style="12" customWidth="1"/>
    <col min="9" max="16" width="23.140625" customWidth="1"/>
  </cols>
  <sheetData>
    <row r="2" spans="2:16" x14ac:dyDescent="0.55000000000000004">
      <c r="B2" s="24" t="s">
        <v>313</v>
      </c>
      <c r="C2" s="24" t="s">
        <v>314</v>
      </c>
      <c r="D2" s="24" t="s">
        <v>315</v>
      </c>
      <c r="E2" s="24" t="s">
        <v>316</v>
      </c>
      <c r="F2" s="24" t="s">
        <v>317</v>
      </c>
      <c r="G2" s="24" t="s">
        <v>318</v>
      </c>
      <c r="H2" s="24" t="s">
        <v>319</v>
      </c>
      <c r="I2" s="24" t="s">
        <v>320</v>
      </c>
      <c r="J2" s="24" t="s">
        <v>321</v>
      </c>
      <c r="K2" s="24" t="s">
        <v>322</v>
      </c>
      <c r="L2" s="24" t="s">
        <v>323</v>
      </c>
      <c r="M2" s="24" t="s">
        <v>324</v>
      </c>
      <c r="N2" s="24" t="s">
        <v>325</v>
      </c>
      <c r="O2" s="24" t="s">
        <v>326</v>
      </c>
      <c r="P2" s="24" t="s">
        <v>333</v>
      </c>
    </row>
    <row r="3" spans="2:16" x14ac:dyDescent="0.55000000000000004">
      <c r="B3" s="24"/>
      <c r="D3" s="24"/>
      <c r="E3" s="24"/>
      <c r="F3" s="24"/>
      <c r="G3" s="24"/>
      <c r="H3" s="24"/>
      <c r="I3" s="25"/>
      <c r="J3" s="25"/>
      <c r="K3" s="25"/>
      <c r="L3" s="25"/>
      <c r="M3" s="25"/>
      <c r="N3" s="25"/>
      <c r="O3" s="25"/>
      <c r="P3" s="25"/>
    </row>
  </sheetData>
  <phoneticPr fontId="2" type="noConversion"/>
  <dataValidations count="1">
    <dataValidation type="list" allowBlank="1" showInputMessage="1" showErrorMessage="1" sqref="O3:O31" xr:uid="{24E700C0-2F2B-47B6-B187-AAF459E75D77}">
      <formula1>"여,부"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8">
    <tabColor theme="5" tint="0.79998168889431442"/>
    <pageSetUpPr fitToPage="1"/>
  </sheetPr>
  <dimension ref="B2:R7"/>
  <sheetViews>
    <sheetView showGridLines="0" zoomScale="85" zoomScaleNormal="85" zoomScaleSheetLayoutView="85" workbookViewId="0">
      <selection activeCell="S10" sqref="S10"/>
    </sheetView>
  </sheetViews>
  <sheetFormatPr defaultColWidth="8.78515625" defaultRowHeight="17.600000000000001" x14ac:dyDescent="0.55000000000000004"/>
  <cols>
    <col min="1" max="1" width="2" style="1" customWidth="1"/>
    <col min="2" max="2" width="14.0703125" style="1" customWidth="1"/>
    <col min="3" max="3" width="10.78515625" style="1" customWidth="1"/>
    <col min="4" max="4" width="7.5" style="1" customWidth="1"/>
    <col min="5" max="5" width="6" style="1" customWidth="1"/>
    <col min="6" max="6" width="9.5" style="1" customWidth="1"/>
    <col min="7" max="7" width="5.92578125" style="1" customWidth="1"/>
    <col min="8" max="8" width="7.5" style="1" customWidth="1"/>
    <col min="9" max="9" width="6.7109375" style="1" customWidth="1"/>
    <col min="10" max="10" width="13.92578125" style="1" customWidth="1"/>
    <col min="11" max="11" width="11" style="1" customWidth="1"/>
    <col min="12" max="12" width="8.5703125" style="1" customWidth="1"/>
    <col min="13" max="13" width="9.42578125" style="1" customWidth="1"/>
    <col min="14" max="14" width="10.2109375" style="1" customWidth="1"/>
    <col min="15" max="15" width="5.92578125" style="1" customWidth="1"/>
    <col min="16" max="16" width="8.2109375" style="1" customWidth="1"/>
    <col min="17" max="17" width="5.0703125" style="1" customWidth="1"/>
    <col min="18" max="18" width="10.78515625" style="1" customWidth="1"/>
    <col min="19" max="19" width="8.78515625" style="1" customWidth="1"/>
    <col min="20" max="16384" width="8.78515625" style="1"/>
  </cols>
  <sheetData>
    <row r="2" spans="2:18" ht="30" customHeight="1" x14ac:dyDescent="0.55000000000000004">
      <c r="B2" s="45" t="s">
        <v>224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</row>
    <row r="3" spans="2:18" ht="30" customHeight="1" x14ac:dyDescent="0.55000000000000004">
      <c r="B3" s="77" t="s">
        <v>225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61"/>
      <c r="N3" s="72"/>
      <c r="O3" s="28"/>
      <c r="P3" s="28"/>
      <c r="Q3" s="28"/>
      <c r="R3" s="28"/>
    </row>
    <row r="4" spans="2:18" ht="30" customHeight="1" x14ac:dyDescent="0.55000000000000004">
      <c r="B4" s="77" t="s">
        <v>226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61"/>
      <c r="N4" s="72">
        <f>N3*0.5</f>
        <v>0</v>
      </c>
      <c r="O4" s="28"/>
      <c r="P4" s="28"/>
      <c r="Q4" s="28"/>
      <c r="R4" s="28"/>
    </row>
    <row r="5" spans="2:18" ht="30" customHeight="1" x14ac:dyDescent="0.55000000000000004">
      <c r="B5" s="77" t="s">
        <v>227</v>
      </c>
      <c r="C5" s="28"/>
      <c r="D5" s="28"/>
      <c r="E5" s="28"/>
      <c r="F5" s="28"/>
      <c r="G5" s="28"/>
      <c r="H5" s="28"/>
      <c r="I5" s="28"/>
      <c r="J5" s="28"/>
      <c r="K5" s="28"/>
      <c r="L5" s="28"/>
      <c r="M5" s="61"/>
      <c r="N5" s="72"/>
      <c r="O5" s="28"/>
      <c r="P5" s="28"/>
      <c r="Q5" s="28"/>
      <c r="R5" s="28"/>
    </row>
    <row r="6" spans="2:18" ht="30" customHeight="1" x14ac:dyDescent="0.55000000000000004">
      <c r="B6" s="57" t="s">
        <v>228</v>
      </c>
      <c r="C6" s="30"/>
      <c r="D6" s="30"/>
      <c r="E6" s="30"/>
      <c r="F6" s="30"/>
      <c r="G6" s="30"/>
      <c r="H6" s="30"/>
      <c r="I6" s="30"/>
      <c r="J6" s="30"/>
      <c r="K6" s="30"/>
      <c r="L6" s="30"/>
      <c r="M6" s="37"/>
      <c r="N6" s="58">
        <f>N5-N4</f>
        <v>0</v>
      </c>
      <c r="O6" s="30"/>
      <c r="P6" s="30"/>
      <c r="Q6" s="30"/>
      <c r="R6" s="30"/>
    </row>
    <row r="7" spans="2:18" ht="19.95" customHeight="1" x14ac:dyDescent="0.55000000000000004">
      <c r="B7" s="6"/>
      <c r="C7" s="6"/>
      <c r="D7" s="6"/>
      <c r="E7" s="6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</row>
  </sheetData>
  <mergeCells count="9">
    <mergeCell ref="B5:M5"/>
    <mergeCell ref="N5:R5"/>
    <mergeCell ref="B6:M6"/>
    <mergeCell ref="N6:R6"/>
    <mergeCell ref="B2:R2"/>
    <mergeCell ref="B3:M3"/>
    <mergeCell ref="N3:R3"/>
    <mergeCell ref="B4:M4"/>
    <mergeCell ref="N4:R4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6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30">
    <tabColor theme="5" tint="0.79998168889431442"/>
    <pageSetUpPr fitToPage="1"/>
  </sheetPr>
  <dimension ref="B2:R42"/>
  <sheetViews>
    <sheetView showGridLines="0" tabSelected="1" topLeftCell="A18" zoomScale="85" zoomScaleNormal="85" zoomScaleSheetLayoutView="85" workbookViewId="0">
      <selection activeCell="K34" sqref="K34:R34"/>
    </sheetView>
  </sheetViews>
  <sheetFormatPr defaultColWidth="8.78515625" defaultRowHeight="17.600000000000001" x14ac:dyDescent="0.55000000000000004"/>
  <cols>
    <col min="1" max="1" width="2" style="1" customWidth="1"/>
    <col min="2" max="2" width="14.0703125" style="1" customWidth="1"/>
    <col min="3" max="3" width="10.78515625" style="1" customWidth="1"/>
    <col min="4" max="4" width="7.5" style="1" customWidth="1"/>
    <col min="5" max="5" width="6" style="1" customWidth="1"/>
    <col min="6" max="6" width="9.5" style="1" customWidth="1"/>
    <col min="7" max="7" width="5.92578125" style="1" customWidth="1"/>
    <col min="8" max="8" width="7.5" style="1" customWidth="1"/>
    <col min="9" max="9" width="6.7109375" style="1" customWidth="1"/>
    <col min="10" max="10" width="13.92578125" style="1" customWidth="1"/>
    <col min="11" max="11" width="11" style="1" customWidth="1"/>
    <col min="12" max="12" width="8.5703125" style="1" customWidth="1"/>
    <col min="13" max="13" width="9.42578125" style="1" customWidth="1"/>
    <col min="14" max="14" width="10.2109375" style="1" customWidth="1"/>
    <col min="15" max="15" width="5.92578125" style="1" customWidth="1"/>
    <col min="16" max="16" width="8.2109375" style="1" customWidth="1"/>
    <col min="17" max="17" width="5.0703125" style="1" customWidth="1"/>
    <col min="18" max="18" width="10.78515625" style="1" customWidth="1"/>
    <col min="19" max="19" width="8.78515625" style="1" customWidth="1"/>
    <col min="20" max="16384" width="8.78515625" style="1"/>
  </cols>
  <sheetData>
    <row r="2" spans="2:18" ht="30" customHeight="1" x14ac:dyDescent="0.55000000000000004">
      <c r="B2" s="46" t="s">
        <v>229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2:18" ht="30" customHeight="1" x14ac:dyDescent="0.55000000000000004">
      <c r="B3" s="110" t="s">
        <v>230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</row>
    <row r="4" spans="2:18" ht="30" customHeight="1" x14ac:dyDescent="0.55000000000000004">
      <c r="B4" s="8" t="s">
        <v>231</v>
      </c>
      <c r="C4" s="97" t="s">
        <v>232</v>
      </c>
      <c r="D4" s="32"/>
      <c r="E4" s="33"/>
      <c r="F4" s="97" t="s">
        <v>233</v>
      </c>
      <c r="G4" s="32"/>
      <c r="H4" s="33"/>
      <c r="I4" s="97" t="s">
        <v>234</v>
      </c>
      <c r="J4" s="32"/>
      <c r="K4" s="33"/>
      <c r="L4" s="49" t="s">
        <v>235</v>
      </c>
      <c r="M4" s="32"/>
      <c r="N4" s="32"/>
      <c r="O4" s="32"/>
      <c r="P4" s="49" t="s">
        <v>236</v>
      </c>
      <c r="Q4" s="32"/>
      <c r="R4" s="32"/>
    </row>
    <row r="5" spans="2:18" ht="30" customHeight="1" x14ac:dyDescent="0.55000000000000004">
      <c r="B5" s="9"/>
      <c r="C5" s="50">
        <f>N11</f>
        <v>0</v>
      </c>
      <c r="D5" s="30"/>
      <c r="E5" s="51"/>
      <c r="F5" s="52"/>
      <c r="G5" s="30"/>
      <c r="H5" s="51"/>
      <c r="I5" s="52">
        <f>Q24+M31</f>
        <v>0</v>
      </c>
      <c r="J5" s="30"/>
      <c r="K5" s="51"/>
      <c r="L5" s="75">
        <f>K35</f>
        <v>0</v>
      </c>
      <c r="M5" s="30"/>
      <c r="N5" s="30"/>
      <c r="O5" s="30"/>
      <c r="P5" s="75"/>
      <c r="Q5" s="30"/>
      <c r="R5" s="30"/>
    </row>
    <row r="6" spans="2:18" ht="4.95" customHeight="1" x14ac:dyDescent="0.55000000000000004"/>
    <row r="7" spans="2:18" ht="30" customHeight="1" x14ac:dyDescent="0.55000000000000004">
      <c r="B7" s="46" t="s">
        <v>237</v>
      </c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</row>
    <row r="8" spans="2:18" ht="30" customHeight="1" x14ac:dyDescent="0.55000000000000004">
      <c r="B8" s="46" t="s">
        <v>238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28"/>
      <c r="O8" s="28"/>
      <c r="P8" s="28"/>
      <c r="Q8" s="28"/>
      <c r="R8" s="28"/>
    </row>
    <row r="9" spans="2:18" ht="30" customHeight="1" x14ac:dyDescent="0.55000000000000004">
      <c r="B9" s="111" t="s">
        <v>239</v>
      </c>
      <c r="C9" s="32"/>
      <c r="D9" s="32"/>
      <c r="E9" s="32"/>
      <c r="F9" s="32"/>
      <c r="G9" s="33"/>
      <c r="H9" s="112" t="s">
        <v>240</v>
      </c>
      <c r="I9" s="30"/>
      <c r="J9" s="30"/>
      <c r="K9" s="30"/>
      <c r="L9" s="30"/>
      <c r="M9" s="37"/>
      <c r="N9" s="113" t="s">
        <v>112</v>
      </c>
      <c r="O9" s="30"/>
      <c r="P9" s="30"/>
      <c r="Q9" s="30"/>
      <c r="R9" s="30"/>
    </row>
    <row r="10" spans="2:18" ht="42" customHeight="1" x14ac:dyDescent="0.55000000000000004">
      <c r="B10" s="98" t="s">
        <v>241</v>
      </c>
      <c r="C10" s="51"/>
      <c r="D10" s="106" t="s">
        <v>242</v>
      </c>
      <c r="E10" s="30"/>
      <c r="F10" s="30"/>
      <c r="G10" s="51"/>
      <c r="H10" s="106" t="s">
        <v>243</v>
      </c>
      <c r="I10" s="30"/>
      <c r="J10" s="51"/>
      <c r="K10" s="106" t="s">
        <v>244</v>
      </c>
      <c r="L10" s="30"/>
      <c r="M10" s="51"/>
      <c r="N10" s="49" t="s">
        <v>245</v>
      </c>
      <c r="O10" s="32"/>
      <c r="P10" s="32"/>
      <c r="Q10" s="32"/>
      <c r="R10" s="32"/>
    </row>
    <row r="11" spans="2:18" ht="30" customHeight="1" x14ac:dyDescent="0.55000000000000004">
      <c r="B11" s="50"/>
      <c r="C11" s="51"/>
      <c r="D11" s="114"/>
      <c r="E11" s="131"/>
      <c r="F11" s="131"/>
      <c r="G11" s="132"/>
      <c r="H11" s="52"/>
      <c r="I11" s="30"/>
      <c r="J11" s="51"/>
      <c r="K11" s="114"/>
      <c r="L11" s="30"/>
      <c r="M11" s="51"/>
      <c r="N11" s="75"/>
      <c r="O11" s="30"/>
      <c r="P11" s="30"/>
      <c r="Q11" s="30"/>
      <c r="R11" s="30"/>
    </row>
    <row r="12" spans="2:18" ht="4.95" customHeight="1" x14ac:dyDescent="0.55000000000000004"/>
    <row r="13" spans="2:18" ht="30" customHeight="1" x14ac:dyDescent="0.55000000000000004">
      <c r="B13" s="46" t="s">
        <v>246</v>
      </c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</row>
    <row r="14" spans="2:18" ht="30" customHeight="1" x14ac:dyDescent="0.55000000000000004">
      <c r="B14" s="115" t="s">
        <v>247</v>
      </c>
      <c r="C14" s="33"/>
      <c r="D14" s="97" t="s">
        <v>248</v>
      </c>
      <c r="E14" s="32"/>
      <c r="F14" s="32"/>
      <c r="G14" s="33"/>
      <c r="H14" s="97" t="s">
        <v>249</v>
      </c>
      <c r="I14" s="32"/>
      <c r="J14" s="33"/>
      <c r="K14" s="97" t="s">
        <v>250</v>
      </c>
      <c r="L14" s="32"/>
      <c r="M14" s="33"/>
      <c r="N14" s="49" t="s">
        <v>251</v>
      </c>
      <c r="O14" s="32"/>
      <c r="P14" s="32"/>
      <c r="Q14" s="32"/>
      <c r="R14" s="32"/>
    </row>
    <row r="15" spans="2:18" ht="30" customHeight="1" x14ac:dyDescent="0.55000000000000004">
      <c r="B15" s="50"/>
      <c r="C15" s="51"/>
      <c r="D15" s="133"/>
      <c r="E15" s="134"/>
      <c r="F15" s="134"/>
      <c r="G15" s="135"/>
      <c r="H15" s="116"/>
      <c r="I15" s="30"/>
      <c r="J15" s="51"/>
      <c r="K15" s="52"/>
      <c r="L15" s="30"/>
      <c r="M15" s="51"/>
      <c r="N15" s="75"/>
      <c r="O15" s="30"/>
      <c r="P15" s="30"/>
      <c r="Q15" s="30"/>
      <c r="R15" s="30"/>
    </row>
    <row r="16" spans="2:18" ht="4.95" customHeight="1" x14ac:dyDescent="0.55000000000000004"/>
    <row r="17" spans="2:18" ht="30" customHeight="1" x14ac:dyDescent="0.55000000000000004">
      <c r="B17" s="46" t="s">
        <v>252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</row>
    <row r="18" spans="2:18" ht="67.849999999999994" customHeight="1" x14ac:dyDescent="0.55000000000000004">
      <c r="B18" s="115" t="s">
        <v>247</v>
      </c>
      <c r="C18" s="33"/>
      <c r="D18" s="97" t="s">
        <v>248</v>
      </c>
      <c r="E18" s="32"/>
      <c r="F18" s="32"/>
      <c r="G18" s="33"/>
      <c r="H18" s="97" t="s">
        <v>253</v>
      </c>
      <c r="I18" s="32"/>
      <c r="J18" s="33"/>
      <c r="K18" s="97" t="s">
        <v>254</v>
      </c>
      <c r="L18" s="32"/>
      <c r="M18" s="33"/>
      <c r="N18" s="49" t="s">
        <v>255</v>
      </c>
      <c r="O18" s="32"/>
      <c r="P18" s="32"/>
      <c r="Q18" s="32"/>
      <c r="R18" s="32"/>
    </row>
    <row r="19" spans="2:18" ht="30" customHeight="1" x14ac:dyDescent="0.55000000000000004">
      <c r="B19" s="50"/>
      <c r="C19" s="51"/>
      <c r="D19" s="133"/>
      <c r="E19" s="134"/>
      <c r="F19" s="134"/>
      <c r="G19" s="135"/>
      <c r="H19" s="116"/>
      <c r="I19" s="30"/>
      <c r="J19" s="51"/>
      <c r="K19" s="52"/>
      <c r="L19" s="30"/>
      <c r="M19" s="51"/>
      <c r="N19" s="75"/>
      <c r="O19" s="30"/>
      <c r="P19" s="30"/>
      <c r="Q19" s="30"/>
      <c r="R19" s="30"/>
    </row>
    <row r="20" spans="2:18" ht="19.95" customHeight="1" x14ac:dyDescent="0.55000000000000004">
      <c r="B20" s="6"/>
      <c r="C20" s="6"/>
      <c r="D20" s="6"/>
      <c r="E20" s="6"/>
      <c r="F20" s="6"/>
      <c r="G20" s="6"/>
      <c r="H20" s="6"/>
      <c r="I20" s="6"/>
      <c r="J20" s="7"/>
      <c r="K20" s="7"/>
      <c r="L20" s="7"/>
      <c r="M20" s="7"/>
      <c r="N20" s="7"/>
      <c r="O20" s="7"/>
      <c r="P20" s="7"/>
      <c r="Q20" s="7"/>
      <c r="R20" s="7"/>
    </row>
    <row r="21" spans="2:18" ht="28.1" customHeight="1" x14ac:dyDescent="0.55000000000000004">
      <c r="B21" s="45" t="s">
        <v>256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</row>
    <row r="22" spans="2:18" ht="28.1" customHeight="1" x14ac:dyDescent="0.55000000000000004">
      <c r="B22" s="46" t="s">
        <v>257</v>
      </c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</row>
    <row r="23" spans="2:18" ht="46.85" customHeight="1" x14ac:dyDescent="0.55000000000000004">
      <c r="B23" s="22" t="s">
        <v>258</v>
      </c>
      <c r="C23" s="108" t="s">
        <v>259</v>
      </c>
      <c r="D23" s="33"/>
      <c r="E23" s="117" t="s">
        <v>260</v>
      </c>
      <c r="F23" s="33"/>
      <c r="G23" s="117" t="s">
        <v>261</v>
      </c>
      <c r="H23" s="32"/>
      <c r="I23" s="33"/>
      <c r="J23" s="21" t="s">
        <v>262</v>
      </c>
      <c r="K23" s="21" t="s">
        <v>263</v>
      </c>
      <c r="L23" s="108" t="s">
        <v>264</v>
      </c>
      <c r="M23" s="33"/>
      <c r="N23" s="23" t="s">
        <v>265</v>
      </c>
      <c r="O23" s="118" t="s">
        <v>266</v>
      </c>
      <c r="P23" s="37"/>
      <c r="Q23" s="119" t="s">
        <v>267</v>
      </c>
      <c r="R23" s="30"/>
    </row>
    <row r="24" spans="2:18" ht="28.1" customHeight="1" x14ac:dyDescent="0.55000000000000004">
      <c r="B24" s="120"/>
      <c r="C24" s="121" t="s">
        <v>268</v>
      </c>
      <c r="D24" s="122"/>
      <c r="E24" s="123" t="s">
        <v>269</v>
      </c>
      <c r="F24" s="51"/>
      <c r="G24" s="124"/>
      <c r="H24" s="30"/>
      <c r="I24" s="51"/>
      <c r="J24" s="5"/>
      <c r="K24" s="10"/>
      <c r="L24" s="124"/>
      <c r="M24" s="51"/>
      <c r="N24" s="10"/>
      <c r="O24" s="124"/>
      <c r="P24" s="51"/>
      <c r="Q24" s="125"/>
      <c r="R24" s="35"/>
    </row>
    <row r="25" spans="2:18" ht="28.1" customHeight="1" x14ac:dyDescent="0.55000000000000004">
      <c r="B25" s="33"/>
      <c r="C25" s="107"/>
      <c r="D25" s="33"/>
      <c r="E25" s="123" t="s">
        <v>270</v>
      </c>
      <c r="F25" s="51"/>
      <c r="G25" s="124"/>
      <c r="H25" s="30"/>
      <c r="I25" s="51"/>
      <c r="J25" s="5"/>
      <c r="K25" s="10"/>
      <c r="L25" s="124"/>
      <c r="M25" s="51"/>
      <c r="N25" s="10"/>
      <c r="O25" s="124"/>
      <c r="P25" s="51"/>
      <c r="Q25" s="107"/>
      <c r="R25" s="32"/>
    </row>
    <row r="26" spans="2:18" ht="4.95" customHeight="1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2:18" ht="28.1" customHeight="1" x14ac:dyDescent="0.55000000000000004">
      <c r="B27" s="46" t="s">
        <v>271</v>
      </c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</row>
    <row r="28" spans="2:18" ht="28.1" customHeight="1" x14ac:dyDescent="0.55000000000000004">
      <c r="B28" s="36" t="s">
        <v>272</v>
      </c>
      <c r="C28" s="30"/>
      <c r="D28" s="30"/>
      <c r="E28" s="30"/>
      <c r="F28" s="30"/>
      <c r="G28" s="30"/>
      <c r="H28" s="30"/>
      <c r="I28" s="30"/>
      <c r="J28" s="30"/>
      <c r="K28" s="30"/>
      <c r="L28" s="37"/>
      <c r="M28" s="75"/>
      <c r="N28" s="30"/>
      <c r="O28" s="30"/>
      <c r="P28" s="30"/>
      <c r="Q28" s="30"/>
      <c r="R28" s="30"/>
    </row>
    <row r="29" spans="2:18" ht="28.1" customHeight="1" x14ac:dyDescent="0.55000000000000004">
      <c r="B29" s="36" t="s">
        <v>273</v>
      </c>
      <c r="C29" s="30"/>
      <c r="D29" s="30"/>
      <c r="E29" s="30"/>
      <c r="F29" s="30"/>
      <c r="G29" s="30"/>
      <c r="H29" s="30"/>
      <c r="I29" s="30"/>
      <c r="J29" s="30"/>
      <c r="K29" s="30"/>
      <c r="L29" s="37"/>
      <c r="M29" s="75"/>
      <c r="N29" s="30"/>
      <c r="O29" s="30"/>
      <c r="P29" s="30"/>
      <c r="Q29" s="30"/>
      <c r="R29" s="30"/>
    </row>
    <row r="30" spans="2:18" ht="28.1" customHeight="1" x14ac:dyDescent="0.55000000000000004">
      <c r="B30" s="36" t="s">
        <v>274</v>
      </c>
      <c r="C30" s="30"/>
      <c r="D30" s="30"/>
      <c r="E30" s="30"/>
      <c r="F30" s="30"/>
      <c r="G30" s="30"/>
      <c r="H30" s="30"/>
      <c r="I30" s="30"/>
      <c r="J30" s="30"/>
      <c r="K30" s="30"/>
      <c r="L30" s="37"/>
      <c r="M30" s="75">
        <f>M29*0.15</f>
        <v>0</v>
      </c>
      <c r="N30" s="30"/>
      <c r="O30" s="30"/>
      <c r="P30" s="30"/>
      <c r="Q30" s="30"/>
      <c r="R30" s="30"/>
    </row>
    <row r="31" spans="2:18" ht="28.1" customHeight="1" x14ac:dyDescent="0.55000000000000004">
      <c r="B31" s="36" t="s">
        <v>275</v>
      </c>
      <c r="C31" s="30"/>
      <c r="D31" s="30"/>
      <c r="E31" s="30"/>
      <c r="F31" s="30"/>
      <c r="G31" s="30"/>
      <c r="H31" s="30"/>
      <c r="I31" s="30"/>
      <c r="J31" s="30"/>
      <c r="K31" s="30"/>
      <c r="L31" s="37"/>
      <c r="M31" s="75">
        <f>M30-M28</f>
        <v>0</v>
      </c>
      <c r="N31" s="58"/>
      <c r="O31" s="58"/>
      <c r="P31" s="58"/>
      <c r="Q31" s="58"/>
      <c r="R31" s="58"/>
    </row>
    <row r="32" spans="2:18" ht="4.95" customHeight="1" x14ac:dyDescent="0.55000000000000004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2:18" ht="28.1" customHeight="1" x14ac:dyDescent="0.55000000000000004">
      <c r="B33" s="46" t="s">
        <v>276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</row>
    <row r="34" spans="2:18" ht="28.1" customHeight="1" x14ac:dyDescent="0.55000000000000004">
      <c r="B34" s="36" t="s">
        <v>277</v>
      </c>
      <c r="C34" s="30"/>
      <c r="D34" s="30"/>
      <c r="E34" s="30"/>
      <c r="F34" s="30"/>
      <c r="G34" s="30"/>
      <c r="H34" s="30"/>
      <c r="I34" s="30"/>
      <c r="J34" s="37"/>
      <c r="K34" s="65"/>
      <c r="L34" s="79"/>
      <c r="M34" s="79"/>
      <c r="N34" s="79"/>
      <c r="O34" s="79"/>
      <c r="P34" s="79"/>
      <c r="Q34" s="79"/>
      <c r="R34" s="79"/>
    </row>
    <row r="35" spans="2:18" ht="28.1" customHeight="1" x14ac:dyDescent="0.55000000000000004">
      <c r="B35" s="36" t="s">
        <v>278</v>
      </c>
      <c r="C35" s="30"/>
      <c r="D35" s="30"/>
      <c r="E35" s="30"/>
      <c r="F35" s="30"/>
      <c r="G35" s="30"/>
      <c r="H35" s="30"/>
      <c r="I35" s="30"/>
      <c r="J35" s="37"/>
      <c r="K35" s="58"/>
      <c r="L35" s="30"/>
      <c r="M35" s="30"/>
      <c r="N35" s="30"/>
      <c r="O35" s="30"/>
      <c r="P35" s="30"/>
      <c r="Q35" s="30"/>
      <c r="R35" s="30"/>
    </row>
    <row r="36" spans="2:18" ht="28.1" customHeight="1" x14ac:dyDescent="0.55000000000000004">
      <c r="B36" s="36" t="s">
        <v>279</v>
      </c>
      <c r="C36" s="30"/>
      <c r="D36" s="30"/>
      <c r="E36" s="30"/>
      <c r="F36" s="30"/>
      <c r="G36" s="30"/>
      <c r="H36" s="30"/>
      <c r="I36" s="30"/>
      <c r="J36" s="37"/>
      <c r="K36" s="126"/>
      <c r="L36" s="30"/>
      <c r="M36" s="30"/>
      <c r="N36" s="30"/>
      <c r="O36" s="30"/>
      <c r="P36" s="30"/>
      <c r="Q36" s="30"/>
      <c r="R36" s="30"/>
    </row>
    <row r="37" spans="2:18" ht="28.1" customHeight="1" x14ac:dyDescent="0.55000000000000004">
      <c r="B37" s="36" t="s">
        <v>280</v>
      </c>
      <c r="C37" s="30"/>
      <c r="D37" s="30"/>
      <c r="E37" s="30"/>
      <c r="F37" s="30"/>
      <c r="G37" s="30"/>
      <c r="H37" s="30"/>
      <c r="I37" s="30"/>
      <c r="J37" s="37"/>
      <c r="K37" s="58"/>
      <c r="L37" s="30"/>
      <c r="M37" s="30"/>
      <c r="N37" s="30"/>
      <c r="O37" s="30"/>
      <c r="P37" s="30"/>
      <c r="Q37" s="30"/>
      <c r="R37" s="30"/>
    </row>
    <row r="38" spans="2:18" ht="28.1" customHeight="1" x14ac:dyDescent="0.55000000000000004">
      <c r="B38" s="105" t="s">
        <v>281</v>
      </c>
      <c r="C38" s="30"/>
      <c r="D38" s="30"/>
      <c r="E38" s="30"/>
      <c r="F38" s="30"/>
      <c r="G38" s="30"/>
      <c r="H38" s="30"/>
      <c r="I38" s="30"/>
      <c r="J38" s="51"/>
      <c r="K38" s="127"/>
      <c r="L38" s="30"/>
      <c r="M38" s="30"/>
      <c r="N38" s="30"/>
      <c r="O38" s="30"/>
      <c r="P38" s="30"/>
      <c r="Q38" s="30"/>
      <c r="R38" s="30"/>
    </row>
    <row r="39" spans="2:18" ht="28.1" customHeight="1" x14ac:dyDescent="0.55000000000000004">
      <c r="B39" s="36" t="s">
        <v>282</v>
      </c>
      <c r="C39" s="128"/>
      <c r="D39" s="128"/>
      <c r="E39" s="128"/>
      <c r="F39" s="128"/>
      <c r="G39" s="128"/>
      <c r="H39" s="128"/>
      <c r="I39" s="128"/>
      <c r="J39" s="61"/>
      <c r="K39" s="108" t="s">
        <v>283</v>
      </c>
      <c r="L39" s="33"/>
      <c r="M39" s="108" t="s">
        <v>284</v>
      </c>
      <c r="N39" s="32"/>
      <c r="O39" s="32"/>
      <c r="P39" s="129" t="s">
        <v>285</v>
      </c>
      <c r="Q39" s="30"/>
      <c r="R39" s="30"/>
    </row>
    <row r="40" spans="2:18" ht="28.1" customHeight="1" x14ac:dyDescent="0.55000000000000004">
      <c r="B40" s="32"/>
      <c r="C40" s="32"/>
      <c r="D40" s="32"/>
      <c r="E40" s="32"/>
      <c r="F40" s="32"/>
      <c r="G40" s="32"/>
      <c r="H40" s="32"/>
      <c r="I40" s="32"/>
      <c r="J40" s="33"/>
      <c r="K40" s="121"/>
      <c r="L40" s="37"/>
      <c r="M40" s="121"/>
      <c r="N40" s="30"/>
      <c r="O40" s="37"/>
      <c r="P40" s="130"/>
      <c r="Q40" s="32"/>
      <c r="R40" s="32"/>
    </row>
    <row r="41" spans="2:18" ht="28.1" customHeight="1" x14ac:dyDescent="0.55000000000000004">
      <c r="B41" s="36" t="s">
        <v>286</v>
      </c>
      <c r="C41" s="30"/>
      <c r="D41" s="30"/>
      <c r="E41" s="30"/>
      <c r="F41" s="30"/>
      <c r="G41" s="30"/>
      <c r="H41" s="30"/>
      <c r="I41" s="30"/>
      <c r="J41" s="37"/>
      <c r="K41" s="66"/>
      <c r="L41" s="30"/>
      <c r="M41" s="30"/>
      <c r="N41" s="30"/>
      <c r="O41" s="30"/>
      <c r="P41" s="30"/>
      <c r="Q41" s="30"/>
      <c r="R41" s="30"/>
    </row>
    <row r="42" spans="2:18" ht="28.1" customHeight="1" x14ac:dyDescent="0.55000000000000004">
      <c r="B42" s="36" t="s">
        <v>287</v>
      </c>
      <c r="C42" s="30"/>
      <c r="D42" s="30"/>
      <c r="E42" s="30"/>
      <c r="F42" s="30"/>
      <c r="G42" s="30"/>
      <c r="H42" s="30"/>
      <c r="I42" s="30"/>
      <c r="J42" s="37"/>
      <c r="K42" s="66"/>
      <c r="L42" s="30"/>
      <c r="M42" s="30"/>
      <c r="N42" s="30"/>
      <c r="O42" s="30"/>
      <c r="P42" s="30"/>
      <c r="Q42" s="30"/>
      <c r="R42" s="30"/>
    </row>
  </sheetData>
  <mergeCells count="99">
    <mergeCell ref="B41:J41"/>
    <mergeCell ref="K41:R41"/>
    <mergeCell ref="B42:J42"/>
    <mergeCell ref="K42:R42"/>
    <mergeCell ref="B37:J37"/>
    <mergeCell ref="K37:R37"/>
    <mergeCell ref="B38:J38"/>
    <mergeCell ref="K38:R38"/>
    <mergeCell ref="B39:J40"/>
    <mergeCell ref="K39:L39"/>
    <mergeCell ref="M39:O39"/>
    <mergeCell ref="P39:R39"/>
    <mergeCell ref="K40:L40"/>
    <mergeCell ref="M40:O40"/>
    <mergeCell ref="P40:R40"/>
    <mergeCell ref="B34:J34"/>
    <mergeCell ref="K34:R34"/>
    <mergeCell ref="B35:J35"/>
    <mergeCell ref="K35:R35"/>
    <mergeCell ref="B36:J36"/>
    <mergeCell ref="K36:R36"/>
    <mergeCell ref="B30:L30"/>
    <mergeCell ref="M30:R30"/>
    <mergeCell ref="B31:L31"/>
    <mergeCell ref="M31:R31"/>
    <mergeCell ref="B33:R33"/>
    <mergeCell ref="B27:R27"/>
    <mergeCell ref="B28:L28"/>
    <mergeCell ref="M28:R28"/>
    <mergeCell ref="B29:L29"/>
    <mergeCell ref="M29:R29"/>
    <mergeCell ref="O24:P24"/>
    <mergeCell ref="Q24:R25"/>
    <mergeCell ref="E25:F25"/>
    <mergeCell ref="G25:I25"/>
    <mergeCell ref="L25:M25"/>
    <mergeCell ref="O25:P25"/>
    <mergeCell ref="B24:B25"/>
    <mergeCell ref="C24:D25"/>
    <mergeCell ref="E24:F24"/>
    <mergeCell ref="G24:I24"/>
    <mergeCell ref="L24:M24"/>
    <mergeCell ref="B21:R21"/>
    <mergeCell ref="B22:R22"/>
    <mergeCell ref="C23:D23"/>
    <mergeCell ref="E23:F23"/>
    <mergeCell ref="G23:I23"/>
    <mergeCell ref="L23:M23"/>
    <mergeCell ref="O23:P23"/>
    <mergeCell ref="Q23:R23"/>
    <mergeCell ref="B19:C19"/>
    <mergeCell ref="D19:G19"/>
    <mergeCell ref="H19:J19"/>
    <mergeCell ref="K19:M19"/>
    <mergeCell ref="N19:R19"/>
    <mergeCell ref="B17:R17"/>
    <mergeCell ref="B18:C18"/>
    <mergeCell ref="D18:G18"/>
    <mergeCell ref="H18:J18"/>
    <mergeCell ref="K18:M18"/>
    <mergeCell ref="N18:R18"/>
    <mergeCell ref="B15:C15"/>
    <mergeCell ref="D15:G15"/>
    <mergeCell ref="H15:J15"/>
    <mergeCell ref="K15:M15"/>
    <mergeCell ref="N15:R15"/>
    <mergeCell ref="B13:R13"/>
    <mergeCell ref="B14:C14"/>
    <mergeCell ref="D14:G14"/>
    <mergeCell ref="H14:J14"/>
    <mergeCell ref="K14:M14"/>
    <mergeCell ref="N14:R14"/>
    <mergeCell ref="B11:C11"/>
    <mergeCell ref="D11:G11"/>
    <mergeCell ref="H11:J11"/>
    <mergeCell ref="K11:M11"/>
    <mergeCell ref="N11:R11"/>
    <mergeCell ref="B10:C10"/>
    <mergeCell ref="D10:G10"/>
    <mergeCell ref="H10:J10"/>
    <mergeCell ref="K10:M10"/>
    <mergeCell ref="N10:R10"/>
    <mergeCell ref="B7:R7"/>
    <mergeCell ref="B8:R8"/>
    <mergeCell ref="B9:G9"/>
    <mergeCell ref="H9:M9"/>
    <mergeCell ref="N9:R9"/>
    <mergeCell ref="C5:E5"/>
    <mergeCell ref="F5:H5"/>
    <mergeCell ref="I5:K5"/>
    <mergeCell ref="L5:O5"/>
    <mergeCell ref="P5:R5"/>
    <mergeCell ref="B2:R2"/>
    <mergeCell ref="B3:R3"/>
    <mergeCell ref="C4:E4"/>
    <mergeCell ref="F4:H4"/>
    <mergeCell ref="I4:K4"/>
    <mergeCell ref="L4:O4"/>
    <mergeCell ref="P4:R4"/>
  </mergeCells>
  <phoneticPr fontId="2" type="noConversion"/>
  <dataValidations count="1">
    <dataValidation type="list" allowBlank="1" showInputMessage="1" showErrorMessage="1" sqref="K41:R42" xr:uid="{00000000-0002-0000-03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19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14"/>
  <sheetViews>
    <sheetView workbookViewId="0"/>
  </sheetViews>
  <sheetFormatPr defaultRowHeight="17.600000000000001" x14ac:dyDescent="0.55000000000000004"/>
  <sheetData>
    <row r="1" spans="1:2" x14ac:dyDescent="0.55000000000000004">
      <c r="A1" t="s">
        <v>288</v>
      </c>
      <c r="B1" t="s">
        <v>289</v>
      </c>
    </row>
    <row r="2" spans="1:2" x14ac:dyDescent="0.55000000000000004">
      <c r="A2" t="s">
        <v>290</v>
      </c>
      <c r="B2" t="s">
        <v>291</v>
      </c>
    </row>
    <row r="3" spans="1:2" x14ac:dyDescent="0.55000000000000004">
      <c r="A3" t="s">
        <v>292</v>
      </c>
      <c r="B3" t="s">
        <v>293</v>
      </c>
    </row>
    <row r="4" spans="1:2" x14ac:dyDescent="0.55000000000000004">
      <c r="A4" t="s">
        <v>294</v>
      </c>
      <c r="B4" t="s">
        <v>295</v>
      </c>
    </row>
    <row r="5" spans="1:2" x14ac:dyDescent="0.55000000000000004">
      <c r="A5" t="s">
        <v>296</v>
      </c>
      <c r="B5" t="s">
        <v>297</v>
      </c>
    </row>
    <row r="6" spans="1:2" x14ac:dyDescent="0.55000000000000004">
      <c r="A6" t="s">
        <v>298</v>
      </c>
      <c r="B6" t="s">
        <v>299</v>
      </c>
    </row>
    <row r="7" spans="1:2" x14ac:dyDescent="0.55000000000000004">
      <c r="A7" t="s">
        <v>300</v>
      </c>
      <c r="B7" t="s">
        <v>301</v>
      </c>
    </row>
    <row r="8" spans="1:2" x14ac:dyDescent="0.55000000000000004">
      <c r="A8" t="s">
        <v>302</v>
      </c>
      <c r="B8">
        <v>1</v>
      </c>
    </row>
    <row r="9" spans="1:2" x14ac:dyDescent="0.55000000000000004">
      <c r="A9" t="s">
        <v>303</v>
      </c>
      <c r="B9">
        <v>1</v>
      </c>
    </row>
    <row r="10" spans="1:2" x14ac:dyDescent="0.55000000000000004">
      <c r="A10" t="s">
        <v>304</v>
      </c>
      <c r="B10">
        <v>1</v>
      </c>
    </row>
    <row r="11" spans="1:2" x14ac:dyDescent="0.55000000000000004">
      <c r="A11" t="s">
        <v>305</v>
      </c>
      <c r="B11">
        <v>1</v>
      </c>
    </row>
    <row r="12" spans="1:2" x14ac:dyDescent="0.55000000000000004">
      <c r="A12" t="s">
        <v>306</v>
      </c>
      <c r="B12">
        <v>1</v>
      </c>
    </row>
    <row r="13" spans="1:2" x14ac:dyDescent="0.55000000000000004">
      <c r="A13" t="s">
        <v>307</v>
      </c>
      <c r="B13" t="s">
        <v>308</v>
      </c>
    </row>
    <row r="14" spans="1:2" x14ac:dyDescent="0.55000000000000004">
      <c r="A14" t="s">
        <v>309</v>
      </c>
      <c r="B14" t="s">
        <v>310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Group 작성요령</vt:lpstr>
      <vt:lpstr>국가별 계산</vt:lpstr>
      <vt:lpstr>국가별 계산 첨부</vt:lpstr>
      <vt:lpstr>적격국제해운부수소득</vt:lpstr>
      <vt:lpstr>추가세액 계산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Min-Hoon Choi (KR - Tax)</dc:creator>
  <cp:lastModifiedBy>재원 김</cp:lastModifiedBy>
  <cp:lastPrinted>2026-04-02T10:06:11Z</cp:lastPrinted>
  <dcterms:created xsi:type="dcterms:W3CDTF">2024-11-04T07:57:30Z</dcterms:created>
  <dcterms:modified xsi:type="dcterms:W3CDTF">2026-04-12T00:46:09Z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0x0101004B37604AD85CD44A80D1467DB41EFD34</vt:lpwstr>
  </property>
</Properties>
</file>