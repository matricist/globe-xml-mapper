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codeName="현재_통합_문서"/>
  <mc:AlternateContent xmlns:mc="http://schemas.openxmlformats.org/markup-compatibility/2006">
    <mc:Choice Requires="x15">
      <x15ac:absPath xmlns:x15ac="http://schemas.microsoft.com/office/spreadsheetml/2010/11/ac" url="C:\Users\jaewo\Desktop\work\mapper\Resources\"/>
    </mc:Choice>
  </mc:AlternateContent>
  <xr:revisionPtr revIDLastSave="0" documentId="13_ncr:1_{F308CE4D-492B-4346-ABB7-229491682EDB}" xr6:coauthVersionLast="47" xr6:coauthVersionMax="47" xr10:uidLastSave="{00000000-0000-0000-0000-000000000000}"/>
  <bookViews>
    <workbookView xWindow="-103" yWindow="-103" windowWidth="33120" windowHeight="18000" tabRatio="780" activeTab="1" xr2:uid="{00000000-000D-0000-FFFF-FFFF00000000}"/>
  </bookViews>
  <sheets>
    <sheet name="Group 작성요령" sheetId="33" r:id="rId1"/>
    <sheet name="국가별 계산" sheetId="9" r:id="rId2"/>
    <sheet name="_META" sheetId="29" state="veryHidden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M248" i="9" l="1"/>
  <c r="I222" i="9" s="1"/>
  <c r="M247" i="9"/>
  <c r="L222" i="9"/>
  <c r="C222" i="9"/>
  <c r="N215" i="9"/>
  <c r="N217" i="9" s="1"/>
  <c r="O58" i="9" l="1"/>
  <c r="E27" i="9" s="1"/>
  <c r="O90" i="9"/>
  <c r="O104" i="9"/>
  <c r="O129" i="9"/>
  <c r="O80" i="9" s="1"/>
  <c r="O194" i="9"/>
  <c r="O84" i="9" l="1"/>
  <c r="L27" i="9" s="1"/>
  <c r="O27" i="9" s="1"/>
  <c r="O105" i="9"/>
  <c r="O106" i="9" s="1"/>
  <c r="O109" i="9" s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김재원</author>
  </authors>
  <commentList>
    <comment ref="O8" authorId="0" shapeId="0" xr:uid="{6BFF15E3-67AE-4086-86D1-2194A2ECFCE3}">
      <text>
        <r>
          <rPr>
            <sz val="9"/>
            <color indexed="81"/>
            <rFont val="돋움"/>
            <family val="3"/>
            <charset val="129"/>
          </rPr>
          <t>필요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시</t>
        </r>
        <r>
          <rPr>
            <sz val="9"/>
            <color indexed="81"/>
            <rFont val="Tahoma"/>
            <family val="2"/>
          </rPr>
          <t xml:space="preserve"> XML </t>
        </r>
        <r>
          <rPr>
            <sz val="9"/>
            <color indexed="81"/>
            <rFont val="돋움"/>
            <family val="3"/>
            <charset val="129"/>
          </rPr>
          <t>직접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기재</t>
        </r>
      </text>
    </comment>
  </commentList>
</comments>
</file>

<file path=xl/sharedStrings.xml><?xml version="1.0" encoding="utf-8"?>
<sst xmlns="http://schemas.openxmlformats.org/spreadsheetml/2006/main" count="345" uniqueCount="322">
  <si>
    <r>
      <rPr>
        <b/>
        <sz val="11"/>
        <color theme="1"/>
        <rFont val="맑은 고딕"/>
        <family val="3"/>
        <charset val="129"/>
        <scheme val="minor"/>
      </rPr>
      <t>시트명</t>
    </r>
    <phoneticPr fontId="0" type="noConversion"/>
  </si>
  <si>
    <r>
      <rPr>
        <b/>
        <sz val="11"/>
        <color theme="1"/>
        <rFont val="맑은 고딕"/>
        <family val="3"/>
        <charset val="129"/>
        <scheme val="minor"/>
      </rPr>
      <t>항목번호</t>
    </r>
    <phoneticPr fontId="0" type="noConversion"/>
  </si>
  <si>
    <r>
      <rPr>
        <b/>
        <sz val="11"/>
        <color theme="1"/>
        <rFont val="맑은 고딕"/>
        <family val="3"/>
        <charset val="129"/>
        <scheme val="minor"/>
      </rPr>
      <t>항목명</t>
    </r>
    <phoneticPr fontId="0" type="noConversion"/>
  </si>
  <si>
    <r>
      <rPr>
        <b/>
        <sz val="11"/>
        <color theme="1"/>
        <rFont val="맑은 고딕"/>
        <family val="3"/>
        <charset val="129"/>
        <scheme val="minor"/>
      </rPr>
      <t>항목내용</t>
    </r>
    <phoneticPr fontId="0" type="noConversion"/>
  </si>
  <si>
    <r>
      <rPr>
        <b/>
        <sz val="11"/>
        <color theme="1"/>
        <rFont val="맑은 고딕"/>
        <family val="3"/>
        <charset val="129"/>
        <scheme val="minor"/>
      </rPr>
      <t>복수선택</t>
    </r>
    <phoneticPr fontId="0" type="noConversion"/>
  </si>
  <si>
    <r>
      <rPr>
        <sz val="11"/>
        <color theme="1"/>
        <rFont val="맑은 고딕"/>
        <family val="2"/>
        <charset val="129"/>
        <scheme val="minor"/>
      </rPr>
      <t>납세자번호, 납세자번호 유형, 발급국가를 컴마로 구분하여 기재
납세자번호 유형
GIR3001: Tax Identification Number
GIR3002: Functionally equivalent number
GIR3003: Agreed GIR designated number
GIR3004: Not required to be reported
발급국가 ISO3166-alpha2</t>
    </r>
    <phoneticPr fontId="0" type="noConversion"/>
  </si>
  <si>
    <r>
      <rPr>
        <sz val="11"/>
        <color theme="1"/>
        <rFont val="맑은 고딕"/>
        <family val="2"/>
        <charset val="129"/>
        <scheme val="minor"/>
      </rPr>
      <t>가능(컴마로 구분)</t>
    </r>
    <phoneticPr fontId="0" type="noConversion"/>
  </si>
  <si>
    <r>
      <rPr>
        <sz val="11"/>
        <color theme="1"/>
        <rFont val="맑은 고딕"/>
        <family val="2"/>
        <charset val="129"/>
        <scheme val="minor"/>
      </rPr>
      <t>ISO4217-alpha3 예시) KRW</t>
    </r>
    <phoneticPr fontId="0" type="noConversion"/>
  </si>
  <si>
    <r>
      <rPr>
        <sz val="11"/>
        <color theme="1"/>
        <rFont val="맑은 고딕"/>
        <family val="2"/>
        <charset val="129"/>
        <scheme val="minor"/>
      </rPr>
      <t>하위그룹 유형</t>
    </r>
    <phoneticPr fontId="0" type="noConversion"/>
  </si>
  <si>
    <r>
      <rPr>
        <sz val="11"/>
        <color theme="1"/>
        <rFont val="맑은 고딕"/>
        <family val="2"/>
        <charset val="129"/>
        <scheme val="minor"/>
      </rPr>
      <t>국가코드: ISO3166-alpha2</t>
    </r>
    <phoneticPr fontId="0" type="noConversion"/>
  </si>
  <si>
    <r>
      <rPr>
        <sz val="11"/>
        <color theme="1"/>
        <rFont val="맑은 고딕"/>
        <family val="2"/>
        <charset val="129"/>
        <scheme val="minor"/>
      </rPr>
      <t>3.1.2</t>
    </r>
    <phoneticPr fontId="0" type="noConversion"/>
  </si>
  <si>
    <r>
      <rPr>
        <sz val="11"/>
        <color theme="1"/>
        <rFont val="맑은 고딕"/>
        <family val="2"/>
        <charset val="129"/>
        <scheme val="minor"/>
      </rPr>
      <t>국가별 계산</t>
    </r>
    <phoneticPr fontId="0" type="noConversion"/>
  </si>
  <si>
    <r>
      <rPr>
        <sz val="11"/>
        <color theme="1"/>
        <rFont val="맑은 고딕"/>
        <family val="2"/>
        <charset val="129"/>
        <scheme val="minor"/>
      </rPr>
      <t>3.1.1</t>
    </r>
    <phoneticPr fontId="0" type="noConversion"/>
  </si>
  <si>
    <r>
      <rPr>
        <sz val="11"/>
        <color theme="1"/>
        <rFont val="맑은 고딕"/>
        <family val="2"/>
        <charset val="129"/>
        <scheme val="minor"/>
      </rPr>
      <t>국가명</t>
    </r>
    <phoneticPr fontId="0" type="noConversion"/>
  </si>
  <si>
    <r>
      <rPr>
        <sz val="11"/>
        <color theme="1"/>
        <rFont val="맑은 고딕"/>
        <family val="2"/>
        <charset val="129"/>
        <scheme val="minor"/>
      </rPr>
      <t>3.1.3</t>
    </r>
    <phoneticPr fontId="0" type="noConversion"/>
  </si>
  <si>
    <t>GIR1601: Constituent Entities
GIR1602: Minority-Owned Subgroup
GIR1603: Standalone MOCEs
GIR1604: Investment Entities
GIR1605: JV Group
GIR1606: Stateless Constituent Entity
GIR1607: Transitional CbCR Safe Harbour - Constituent Entities
GIR1608: Transitional CbCR Safe Harbour - JV Group
GIR1609: Transitional UTPR Safe Harbour</t>
  </si>
  <si>
    <r>
      <rPr>
        <sz val="11"/>
        <color theme="1"/>
        <rFont val="맑은 고딕"/>
        <family val="2"/>
        <charset val="129"/>
        <scheme val="minor"/>
      </rPr>
      <t>하위그룹의 최상위기업 납세자번호</t>
    </r>
    <phoneticPr fontId="0" type="noConversion"/>
  </si>
  <si>
    <r>
      <rPr>
        <sz val="11"/>
        <color theme="1"/>
        <rFont val="맑은 고딕"/>
        <family val="2"/>
        <charset val="129"/>
        <scheme val="minor"/>
      </rPr>
      <t>3.1.11</t>
    </r>
    <phoneticPr fontId="0" type="noConversion"/>
  </si>
  <si>
    <r>
      <rPr>
        <sz val="11"/>
        <color theme="1"/>
        <rFont val="맑은 고딕"/>
        <family val="2"/>
        <charset val="129"/>
        <scheme val="minor"/>
      </rPr>
      <t>국가별 선택</t>
    </r>
    <phoneticPr fontId="0" type="noConversion"/>
  </si>
  <si>
    <r>
      <rPr>
        <sz val="11"/>
        <color theme="1"/>
        <rFont val="맑은 고딕"/>
        <family val="2"/>
        <charset val="129"/>
        <scheme val="minor"/>
      </rPr>
      <t>ElectionsDifference와 KElectionsDifference를 세미콜론(;)으로 연결하여 작성합니다.</t>
    </r>
    <phoneticPr fontId="0" type="noConversion"/>
  </si>
  <si>
    <t>3. 글로벌최저한세 계산</t>
  </si>
  <si>
    <t>글로벌최저한세 계산 - 국가별 기재
신고구성기업은 글로벌최저한세 계산의 적용면제 및 제외가 적용되지 않는 각 국가별(또는 별도 계산이 필요한 하위그룹별)로 제6쪽부터 제25쪽까지를 작성합니다.</t>
  </si>
  <si>
    <t>3.1 국가별 글로벌최저한세 계산 기본사항</t>
  </si>
  <si>
    <t xml:space="preserve"> 1. 국가명</t>
  </si>
  <si>
    <t xml:space="preserve"> 2. 하위그룹 유형(있는 경우)</t>
  </si>
  <si>
    <t xml:space="preserve"> 3. 실효세율 및 추가세액 계산이 필요한 하위그룹의 최상위기업 납세자번호(있는 경우)</t>
  </si>
  <si>
    <t xml:space="preserve"> 4. 과세권이 있는 국가</t>
  </si>
  <si>
    <t xml:space="preserve"> 5. 실효세율</t>
  </si>
  <si>
    <t xml:space="preserve"> 6. 조정대상조세</t>
  </si>
  <si>
    <t xml:space="preserve"> 7. 순글로벌최저한세소득금액</t>
  </si>
  <si>
    <t xml:space="preserve"> 8. 실질기반제외소득금액</t>
  </si>
  <si>
    <t xml:space="preserve"> 9. 당기추가세액가산액</t>
  </si>
  <si>
    <t xml:space="preserve"> 10. 과세권 국가에 납부하는 추가세액</t>
  </si>
  <si>
    <t xml:space="preserve"> 11. 국가별 선택</t>
  </si>
  <si>
    <t xml:space="preserve"> 12.「국제조세조정에 관한 법률 시행령」 제111조에 따른 배분 후 당기법인세비용 합계</t>
  </si>
  <si>
    <t xml:space="preserve"> 13. 적격환급가능세액공제 또는 적격양도가능세액공제(법인세비용)</t>
  </si>
  <si>
    <t xml:space="preserve"> 14. 기타 세액공제(법인세비용)</t>
  </si>
  <si>
    <t xml:space="preserve"> 15. 이연법인세비용</t>
  </si>
  <si>
    <t xml:space="preserve"> 16. 적격환급가능세액공제 또는 적격양도가능세액공제(소득)</t>
  </si>
  <si>
    <t xml:space="preserve"> 17. 이월조정대상조세</t>
  </si>
  <si>
    <t xml:space="preserve"> 18. 최초적용연도에 대한 특례</t>
  </si>
  <si>
    <t>3.2 실효세율 계산</t>
  </si>
  <si>
    <t>3.2.1 실효세율</t>
  </si>
  <si>
    <t>a. 회계상 순이익(또는 순손실)</t>
  </si>
  <si>
    <t>b. 순글로벌최저한세소득</t>
  </si>
  <si>
    <t>c. 법인세비용</t>
  </si>
  <si>
    <t>d. 조정대상조세</t>
  </si>
  <si>
    <t>e. 실효세율</t>
  </si>
  <si>
    <t>3.2.1.1 글로벌최저한세소득ㆍ결손 계산</t>
  </si>
  <si>
    <t>1.「국제조세조정에 관한 법률」 제66조제4항부터 제7항까지의 규정에 따른 배분 후 회계상 순손익 합계(국가별 소재한 모든 구성기업)</t>
  </si>
  <si>
    <t>2. 조정사항</t>
  </si>
  <si>
    <t>순 조정금액</t>
  </si>
  <si>
    <t xml:space="preserve"> (a) 순조세비용의 가산(「국제조세조정에 관한 법률 시행규칙」 별표 1 제1호)</t>
  </si>
  <si>
    <t xml:space="preserve"> (b) 배당수익의 차감(「국제조세조정에 관한 법률 시행규칙」 별표 1 제2호)</t>
  </si>
  <si>
    <t xml:space="preserve"> (c) 지분손익의 조정(「국제조세조정에 관한 법률 시행규칙」 별표 1 제4호)</t>
  </si>
  <si>
    <t xml:space="preserve"> (d) 재평가손익의 조정(「국제조세조정에 관한 법률 시행규칙」 별표 1 제5호)</t>
  </si>
  <si>
    <t xml:space="preserve"> (e) 글로벌최저한세조직재편에 대한 특례(「국제조세조정에 관한 법률」 제76조 및 「국세조세조정에 관한 법률 시행령」 제129조)</t>
  </si>
  <si>
    <t xml:space="preserve"> (f) 비대칭외환손익의 조정(「국제조세조정에 관한 법률 시행규칙」 별표 1 제6호)</t>
  </si>
  <si>
    <t xml:space="preserve"> (g) 정책적 부인비용의 가산(「국제조세조정에 관한 법률 시행규칙」 별표 1 제3호)</t>
  </si>
  <si>
    <t xml:space="preserve"> (h) 전기 오류수정에 따른 조정(「국제조세조정에 관한 법률 시행규칙」 별표 1 제14호)</t>
  </si>
  <si>
    <t xml:space="preserve"> (i) 회계정책 변경에 따른 조정(「국제조세조정에 관한 법률 시행규칙」 별표 1 제14호)</t>
  </si>
  <si>
    <t xml:space="preserve"> (j) 연금손익의 조정(「국제조세조정에 관한 법률 시행규칙」 별표 1 제7호)</t>
  </si>
  <si>
    <t xml:space="preserve"> (k) 채무면제이익의 조정(「국제조세조정에 관한 법률 시행규칙」 별표 1 제11호)</t>
  </si>
  <si>
    <t xml:space="preserve"> (l) 주식기준보상비용의 조정(「국제조세조정에 관한 법률 시행규칙」 별표 1 제8호)</t>
  </si>
  <si>
    <t xml:space="preserve"> (m) 정상가격 및 동일가격 원칙의 적용에 따른 조정(「국제조세조정에 관한 법률 시행규칙」 별표 1 제17호)</t>
  </si>
  <si>
    <t xml:space="preserve"> (n) 적격환급가능세액공제 또는 적격양도가능세액공제 금액의 조정(「국제조세조정에 관한 법률 시행규칙」 별표 1 제12호 및 제13호)</t>
  </si>
  <si>
    <t xml:space="preserve"> (o) 실현주의의 적용에 따른 조정(「국제조세조정에 관한 법률 시행규칙」 별표 1 제16호)</t>
  </si>
  <si>
    <t xml:space="preserve"> (p) 총자산처분이익의 조정(「국제조세조정에 관한 법률 시행규칙」 별표 1 제10호)</t>
  </si>
  <si>
    <t xml:space="preserve"> (q) 그룹내부금융약정비용의 조정(「국제조세조정에 관한 법률 시행규칙」 별표 1 제9호)</t>
  </si>
  <si>
    <t xml:space="preserve"> (r) 구성기업 간 연결회계조정 결과의 반영에 따른 조정(「국제조세조정에 관한 법률 시행규칙」 별표 1 제15호)</t>
  </si>
  <si>
    <t xml:space="preserve"> (s) 보험계약자 관련 손익의 조정(「국제조세조정에 관한 법률 시행규칙」 별표 1 제18호)</t>
  </si>
  <si>
    <t xml:space="preserve"> (t) 그 밖의 기본자본 등에 대한 배당에 따른 조정(「국제조세조정에 관한 법률 시행규칙」 별표 1 제19호)</t>
  </si>
  <si>
    <t xml:space="preserve"> (u) 조직재편시 구성기업의 처리(「국제조세조정에 관한 법률 시행령」 제128조)</t>
  </si>
  <si>
    <t xml:space="preserve"> (v) 투과기업인 최종모기업에 대한 특례(「국제조세조정에 관한 법률」 제77조의2제2항 및 「국제조세조정에 관한 법률 시행령」 제133조)</t>
  </si>
  <si>
    <t xml:space="preserve"> (w) 배당공제제도를 적용받는 최종모기업에 대한 특례(「국제조세조정에 관한 법률」 제77조의2제1항 및 「국제조세조정에 관한 법률 시행령」 제132조)</t>
  </si>
  <si>
    <t xml:space="preserve"> (x) 과세분배방법 적용 선택에 따른 조정(「국제조세조정에 관한 법률」 제79조제6항 및 「국제조세조정에 관한 법률 시행령」 제137조)</t>
  </si>
  <si>
    <t xml:space="preserve"> (y) 국제해운소득ㆍ결손(「국제조세조정에 관한 법률」 제66조제3항 및 「국제조세조정에 관한 법률 시행령」 제106조)</t>
  </si>
  <si>
    <t xml:space="preserve"> (z) 구성기업 간 자산거래(「국제조세조정에 관한 법률 시행규칙」 제89조제4항 및 제6항)</t>
  </si>
  <si>
    <t>3. 해당 국가의 순글로벌최저한세소득</t>
  </si>
  <si>
    <t>3.2.1.2 조정대상조세 계산</t>
  </si>
  <si>
    <t>(a) 조정대상조세 합계</t>
  </si>
  <si>
    <t>1. 「국제조세조정에 관한 법률 시행령」 제111조에 따른 배분 후 당기법인세비용 합계</t>
  </si>
  <si>
    <t xml:space="preserve"> (a) 회계상 세전이익 계산에서 비용으로 계상된 대상조세(「국제조세조정에 관한 법률 시행령」 제110조제1호가목)</t>
  </si>
  <si>
    <t xml:space="preserve"> (b) 결손취급특례 선택에 따른 결손취급특례이연법인세 자산의 설정 또는 사용
     (「국제조세조정에 관한 법률」 제67조제4항 및 같은 법 시행령 제113조의3)</t>
  </si>
  <si>
    <t xml:space="preserve"> (c) 이전 사업연도에 대상조세 차감으로 처리되었던 불확실한 세무처리 항목 관련 대상조세의 당기 납부
     (「국제조세조정에 관한 법률 시행령」 제110조제1호나목)</t>
  </si>
  <si>
    <t xml:space="preserve"> (d) 당기법인세비용에서 차감된 적격환급가능세액공제 또는 적격양도가능세액공제(「국제조세조정에 관한 법률 시행령」 제110조제1호다목)</t>
  </si>
  <si>
    <t xml:space="preserve"> (e) 적격 소유지분에 의한 적격투과조세혜택(「국제조세조정에 관한 법률 시행규칙」 별표 1 제4호사목, 아목, 자목 및 차목)</t>
  </si>
  <si>
    <t xml:space="preserve"> (f) 글로벌최저한세소득ㆍ결손 계산에서 제외되는 소득에 대한 당기법인세비용(「국제조세조정에 관한 법률 시행령」 제110조제2호가목)</t>
  </si>
  <si>
    <t xml:space="preserve"> (g) 당기법인세비용의 감액으로 처리되지 않은 비적격환급가능세액공제, 비적격양도가능세액공제 또는 그 밖의 세액공제
     (「국제조세조정에 관한 법률 시행령」 제110조제2호나목 및 다목)</t>
  </si>
  <si>
    <t xml:space="preserve"> (h) 적격환급가능세액공제 및 적격양도가능세액공제를 제외한 대상조세 환급 및 세액공제로서 당기법인세비용 감액으로 처리되지 않은 금액
     (「국제조세조정에 관한 법률 시행령」 제110조제2호라목)</t>
  </si>
  <si>
    <t xml:space="preserve"> (i) 불확실한 세무처리 항목 관련 당기법인세비용(「국제조세조정에 관한 법률 시행령」 제110조제2호마목)</t>
  </si>
  <si>
    <t xml:space="preserve"> (j) 사업연도 종료일부터 3년 이내에 납부되지 않을 것으로 예상되는 당기법인세비용(「국제조세조정에 관한 법률 시행령」 제110조제2호바목)</t>
  </si>
  <si>
    <t xml:space="preserve"> (k) 신고 후 조정(「국제조세조정에 관한 법률」 제68조제1항 및 제2항)</t>
  </si>
  <si>
    <t xml:space="preserve"> (l) 총자산처분이익 조정 선택을 한 경우의 자산처분순손익 관련 대상조세(「국제조세조정에 관한 법률 시행규칙」 별표 1 제10호)</t>
  </si>
  <si>
    <t xml:space="preserve"> (m) 투과기업인 최종모기업의 대상조세 감액(「국제조세조정에 관한 법률 시행령」 제133조제3항 및 제4항)</t>
  </si>
  <si>
    <t xml:space="preserve"> (n) 배당공제제도 적용 최종모기업의 차감된 글로벌최저한세소득금액 관련 대상조세(「국제조세조정에 관한 법률 시행령」 제132조)</t>
  </si>
  <si>
    <t xml:space="preserve"> (o) 간주분배세액(「국제조세조정에 관한 법률 시행령」 제134조제7항)</t>
  </si>
  <si>
    <t xml:space="preserve"> (p) 과세분배방법 적용 선택(「국제조세조정에 관한 법률 시행령」 제137조)</t>
  </si>
  <si>
    <t xml:space="preserve"> (q) 총이연법인세조정금액(「국제조세조정에 관한 법률」 제67조제2항, 제3항 및 제7항)</t>
  </si>
  <si>
    <t xml:space="preserve"> (r) 글로벌최저한세소득ㆍ결손 계산에 포함되고 과세대상인 손익과 관련된 대상조세 증감액에 대응되는 것으로서 회계상 자본 또는 
    그 밖의 포괄손익에 계상된 것(「국제조세조정에 관한 법률 시행령」 제110조제3호나목)</t>
  </si>
  <si>
    <t xml:space="preserve"> (s) 이월조정대상조세 발생(「국제조세조정에 관한 법률 시행령」 제116조의2 및 제119조제3항)</t>
  </si>
  <si>
    <t xml:space="preserve"> (t) 이월조정대상조세 금액에 의한 조정대상조세 차감(‘0’을 한도로 한다)(「국제조세조정에 관한 법률 시행령」 제116조의2 및 119조제3항)</t>
  </si>
  <si>
    <t>3. 조정대상조세</t>
  </si>
  <si>
    <t>(b) 이월조정대상조세</t>
  </si>
  <si>
    <t xml:space="preserve"> 1. 이전 사업연도에서 이월된 잔액</t>
  </si>
  <si>
    <t xml:space="preserve"> 2. 신고대상 사업연도 이월조정대상조세 발생액</t>
  </si>
  <si>
    <t xml:space="preserve"> 3. 신고대상 사업연도 이월조정대상조세 사용액</t>
  </si>
  <si>
    <t xml:space="preserve"> 4. 다음 사업연도로 이월되는 이월조정대상조세 잔액</t>
  </si>
  <si>
    <t>(c) 통합형피지배외국법인과세제도 관련 계산(해당되는 경우)</t>
  </si>
  <si>
    <t>1. 피지배외국법인소재지국</t>
  </si>
  <si>
    <t>2. 하위그룹</t>
  </si>
  <si>
    <t>3. 통합형피지배외국법인과세제도에 따른 대상조세로서 해당 하위그룹에 배분된 금액 합계</t>
  </si>
  <si>
    <t>합계</t>
  </si>
  <si>
    <t>3.2.2 국가별 이연법인세회계 관련 계산</t>
  </si>
  <si>
    <t>3.2.2.1 이연법인세 조정</t>
  </si>
  <si>
    <t>(a) 요약표</t>
  </si>
  <si>
    <t>1. 재계산과 조정 전 글로벌최저한세 기준상 이연법인세비용(「국제조세조정에 관한 법률 시행령」 제112조제1항제1호)</t>
  </si>
  <si>
    <t>a. 회계 계정상 기록된 이연법인세비용</t>
  </si>
  <si>
    <t>b. 글로벌최저한세 기준으로 계산된 장부가액이 회계상 장부금액과 다른 자산 또는 부채와 관련된 이연법인세비용</t>
  </si>
  <si>
    <t xml:space="preserve">c. 글로벌최저한세 기준으로 계산된 자산 또는 부채의 장부가액에 기초한 이연법인세비용 </t>
  </si>
  <si>
    <t>d. 재계산과 조정 전 글로벌최저한세 기준으로 계산된 이연법인세비용</t>
  </si>
  <si>
    <t>2. 총조정금액</t>
  </si>
  <si>
    <t>3. 이연법인세비용을 최저한세율로 재계산</t>
  </si>
  <si>
    <t>e. 재계산 전 글로벌최저한세 기준으로 계산된 이연법인세비용</t>
  </si>
  <si>
    <t>f. 최저한세율보다 낮은 세율로 계산된 이연법인세비용과 최저한세율로 재계산된 이연법인세비용 차이</t>
  </si>
  <si>
    <t>g. 최저한세율보다 높은 세율로 계산된 이연법인세비용과 최저한세율로 재계산된 이연법인세비용 차이</t>
  </si>
  <si>
    <t>4. 총이연법인세조정금액</t>
  </si>
  <si>
    <t>(b) 조정내역</t>
  </si>
  <si>
    <t>1. 이연법인세비용의 조정</t>
  </si>
  <si>
    <t xml:space="preserve"> (a) 글로벌최저한세소득ㆍ결손 계산에서 제외되는 손익 항목 관련 이연법인세비용(「국제조세조정에 관한 법률 시행령」 제112조제1항제1호의2가목)</t>
  </si>
  <si>
    <t xml:space="preserve"> (b) 불확실한 세무처리항목에 따른 이연법인세비용 등(「국제조세조정에 관한 법률 시행령」 제112조제1항제1호의2다목 및 같은 법 시행규칙 제71조제5항)</t>
  </si>
  <si>
    <t xml:space="preserve"> (c) 미반영 선택 사항 관련 이연법인세비용[「국제조세조정에 관한 법률 시행령」 제112조제1항제1호의2나목4)]</t>
  </si>
  <si>
    <t xml:space="preserve"> (d) 이연법인세자산에 대한 평가 조정 또는 인식 조정[「국제조세조정에 관한 법률 시행령」 제112조제1항제1호의2나목1)]</t>
  </si>
  <si>
    <t xml:space="preserve"> (e) 법인세 세율 변동에 따른 재계산 관련 이연법인세비용[「국제조세조정에 관한 법률 시행령」 제112조제1항제1호의2나목2)]</t>
  </si>
  <si>
    <t xml:space="preserve"> (f) 이월 세액공제의 발생 또는 사용 관련 이연법인세비용[「국제조세조정에 관한 법률 시행령」 제112조제1항제1호의2나목3)]</t>
  </si>
  <si>
    <t xml:space="preserve"> (g) 국내원천결손 관련 대체이월결손금 이연법인세자산(「국제조세조정에 관한 법률 시행규칙」 제71조제1항부터 제3항까지)</t>
  </si>
  <si>
    <t xml:space="preserve"> (h) 이전 사업연도의 이연법인세 미반영 선택 사항에 대한 법인세로서 신고대상 사업연도에 환원된 금액(「국제조세조정에 관한 법률 시행령」 제112조제1항제2호가목)</t>
  </si>
  <si>
    <t xml:space="preserve"> (i) 이전 사업연도에 발생한 이연법인세부채환입액으로서 신고대상 사업연도에 환원된 금액(「국제조세조정에 관한 법률 시행령」 제112조제1항제2호나목)</t>
  </si>
  <si>
    <t xml:space="preserve"> (j) 회계상 인식 기준 미충족으로 계상되지 않은 신고대상 사업연도의 결손금에 대한 이연법인세자산의 인식(「국제조세조정에 관한 법률 시행령」 제112조제1항제3호)</t>
  </si>
  <si>
    <t xml:space="preserve"> (k) 세율 인하에 따른 이연법인세비용 조정(「국제조세조정에 관한 법률 시행령」 제116조제1호)</t>
  </si>
  <si>
    <t xml:space="preserve"> (l) 세율 인상에 따른 이연법인세비용 조정(「국제조세조정에 관한 법률 시행령」 제116조제2호)</t>
  </si>
  <si>
    <t xml:space="preserve"> (m) 조직재편시 다국적기업그룹의 구성기업으로 포함되거나 제외되는 경우(「국제조세조정에 관한 법률 시행규칙」 제80조)</t>
  </si>
  <si>
    <t xml:space="preserve"> (n) 투과기업인 최종모기업의 이연법인세비용(「국제조세조정에 관한 법률 시행령」 제133조)</t>
  </si>
  <si>
    <t xml:space="preserve"> (o) 배당공제제도 적용 최종모기업의 이연법인세비용(「국제조세조정에 관한 법률 시행령」 제132조)</t>
  </si>
  <si>
    <t xml:space="preserve"> (p) 구성기업 간 자산거래에 따른 이연법인세 조정(「국제조세조정에 관한 법률 시행규칙」 제89조제4항)</t>
  </si>
  <si>
    <t>2. 조정금액합계</t>
  </si>
  <si>
    <t>(c) 결손금 소급공제</t>
  </si>
  <si>
    <t>1. 결손금 소급공제로 인한 간주 이연법인세자산 금액</t>
  </si>
  <si>
    <r>
      <rPr>
        <sz val="9"/>
        <color rgb="FF000000"/>
        <rFont val="맑은 고딕"/>
        <family val="3"/>
        <charset val="129"/>
        <scheme val="minor"/>
      </rPr>
      <t>사업연도(일자)</t>
    </r>
    <phoneticPr fontId="0" type="noConversion"/>
  </si>
  <si>
    <t>2. 결손금 소급공제와 관련된 대상조세 환급액</t>
  </si>
  <si>
    <r>
      <rPr>
        <sz val="9"/>
        <color rgb="FF000000"/>
        <rFont val="맑은 고딕"/>
        <family val="3"/>
        <charset val="129"/>
        <scheme val="minor"/>
      </rPr>
      <t>합계</t>
    </r>
    <phoneticPr fontId="0" type="noConversion"/>
  </si>
  <si>
    <t>3.2.2.2 환입금액 계산</t>
  </si>
  <si>
    <t>(a) 이연법인세부채 환입 적용대상인 연간 이연법인세부채 금액</t>
  </si>
  <si>
    <t>1. 신고대상 사업연도 개시 전 다섯 번째 사업연도의 환입 적용대상 이연법인세부채 금액</t>
  </si>
  <si>
    <t>3. 신고대상 사업연도의 환입 적용대상 이연법인세부채 금액</t>
  </si>
  <si>
    <r>
      <rPr>
        <sz val="9"/>
        <color rgb="FF000000"/>
        <rFont val="맑은 고딕"/>
        <family val="3"/>
        <charset val="129"/>
        <scheme val="minor"/>
      </rPr>
      <t xml:space="preserve">2. 신고대상 사업연도 개시 전 다섯 번째 사업연도의 이연법인세부채 금액으로서 신고대상 사업연도에 환입되는 금액 </t>
    </r>
    <phoneticPr fontId="0" type="noConversion"/>
  </si>
  <si>
    <t>(b) 총 이연법인세부채 환입 계정</t>
  </si>
  <si>
    <t>구 분</t>
  </si>
  <si>
    <t>신고대상 사업연도</t>
  </si>
  <si>
    <t>직전 사업연도</t>
  </si>
  <si>
    <t>a. 「국제조세조정에 관한 법률 시행령」 제113조의2 및 같은 법 시행규칙 제74조의2제5항
   제3호에 따른 최초적용연도 개시 전 발생한 이연법인세부채로서 환원되지 않고 남아
   있는 것으로 보는 금액</t>
  </si>
  <si>
    <t xml:space="preserve">b. 「국제조세조정에 관한 법률 시행령」 제113조의2제1항에 따른 해당 사업연도 종료일 현재
   이연법인세부채 금액 </t>
  </si>
  <si>
    <t>c. 「국제조세조정에 관한 법률 시행령」 제113조의2제1항에 따른 비적격잔액 금액</t>
  </si>
  <si>
    <t>3.2.2.3 최초적용연도에 대한 특례</t>
  </si>
  <si>
    <t>1. 최초적용연도</t>
  </si>
  <si>
    <t>(a)「국제조세조정에 관한 법률」 제81조 및 같은 법 시행령 제139조 적용</t>
  </si>
  <si>
    <t>이 연 법 인 세 부 채</t>
  </si>
  <si>
    <t>1. 최초적용연도 개시일의 이연법인세부채</t>
  </si>
  <si>
    <t>2. 최저한세율로 재계산한 이연법인세부채(해당되는 경우)</t>
  </si>
  <si>
    <t>이 연 법 인 세 자 산</t>
  </si>
  <si>
    <t>4. 최저한세율로 재계산한 이연법인세자산
(해당되는 경우)</t>
  </si>
  <si>
    <r>
      <rPr>
        <sz val="9"/>
        <color rgb="FF000000"/>
        <rFont val="맑은 고딕"/>
        <family val="3"/>
        <charset val="129"/>
        <scheme val="minor"/>
      </rPr>
      <t>3. 최초적용연도 개시일의
이연법인세자산</t>
    </r>
    <phoneticPr fontId="0" type="noConversion"/>
  </si>
  <si>
    <t>6. 글로벌최저한세 목적상 산입되는 
이연법인세자산</t>
  </si>
  <si>
    <r>
      <rPr>
        <sz val="9"/>
        <color rgb="FF000000"/>
        <rFont val="맑은 고딕"/>
        <family val="3"/>
        <charset val="129"/>
        <scheme val="minor"/>
      </rPr>
      <t>5.「국제조세조정에 관한 법률 시행규칙」 제89조에
따라 제외되는 이연법인세자산</t>
    </r>
    <phoneticPr fontId="0" type="noConversion"/>
  </si>
  <si>
    <t>(b) 「국제조세조정에 관한 법률 시행규칙」 제89조의 적용</t>
  </si>
  <si>
    <t>2. 해당 자산거래 관련
납부세액</t>
  </si>
  <si>
    <r>
      <rPr>
        <sz val="9"/>
        <color rgb="FF000000"/>
        <rFont val="맑은 고딕"/>
        <family val="3"/>
        <charset val="129"/>
        <scheme val="minor"/>
      </rPr>
      <t>1. 처분기업 소재지국</t>
    </r>
    <phoneticPr fontId="0" type="noConversion"/>
  </si>
  <si>
    <t>3. 해당 자산 처분구성기업의 회계상
반영된 순이연법인세자산(또는 부채)</t>
  </si>
  <si>
    <t>4. 글로벌최저한세 목적상 해당
이전된 자산의 장부가액</t>
  </si>
  <si>
    <t>5. 글로벌최저한세 목적상 취득구성기업의 해당 자산
관련 순이연법인세자산(또는 부채)</t>
  </si>
  <si>
    <t>3.2.3 국가별 선택(해당되는 경우)</t>
  </si>
  <si>
    <t>3.2.3.1 국가별 선택(「국제조세조정에 관한 법률」 제78조에 따른 적격분배과세제도 특례 외)</t>
  </si>
  <si>
    <t>(a) 선택 내역</t>
  </si>
  <si>
    <t>1. 매년 선택</t>
  </si>
  <si>
    <t xml:space="preserve"> a. 총자산처분이익 조정 선택(「국제조세조정에 관한 법률 시행규칙」 별표 1 제10호)</t>
  </si>
  <si>
    <t xml:space="preserve"> b. 대상조세의 경미한 감액에 대한 경정사업연도 반영 선택(「국제조세조정에 관한 법률」 제68조제2항)</t>
  </si>
  <si>
    <t xml:space="preserve"> c. 실질기반제외소득 미적용 선택(「국제조세조정에 관한 법률 시행규칙」 제75조제14항)</t>
  </si>
  <si>
    <t xml:space="preserve"> d. 이월조정대상조세 처리 선택(「국제조세조정에 관한 법률 시행령」 제119조제3항)</t>
  </si>
  <si>
    <t>2. 5년 선택</t>
  </si>
  <si>
    <t>3. 선택 사업연도</t>
  </si>
  <si>
    <t>4. 취소 사업연도</t>
  </si>
  <si>
    <t xml:space="preserve"> e. 지분투자손익포함 선택(「국제조세조정에 관한 법률 시행규칙」 별표 1 제4호라목)</t>
  </si>
  <si>
    <t xml:space="preserve"> f. 주식기준보상비용 세무조정 선택(「국제조세조정에 관한 법률 시행규칙」 별표 1 제8호)</t>
  </si>
  <si>
    <t xml:space="preserve"> g. 실현주의 적용 선택(「국제조세조정에 관한 법률 시행규칙」 별표 1 제16호)</t>
  </si>
  <si>
    <t xml:space="preserve"> h. 구성기업 간 연결회계조정 결과의 반영에 따른 조정 선택(「국제조세조정에 관한 법률 시행규칙」 별표 1 제15호)</t>
  </si>
  <si>
    <t xml:space="preserve"> i. 국가간 이연법인세비용 미배분 적용 선택(「국제조세조정에 관한 법률 시행령」 제111조제3항 및 제4항)</t>
  </si>
  <si>
    <t>5. 그 밖의 선택</t>
  </si>
  <si>
    <t>6. 선택 사업연도</t>
  </si>
  <si>
    <t>7. 취소 사업연도</t>
  </si>
  <si>
    <t xml:space="preserve"> j. 결손취급특례 선택(「국제조세조정에 관한 법률」 제67조제4항 및 같은 법 시행령 제113조의3)</t>
  </si>
  <si>
    <t xml:space="preserve"> (b) 국가별 선택과 관련된 필요정보</t>
  </si>
  <si>
    <t xml:space="preserve"> 1. 지분투자손익포함선택에 따른 지분손익 산입 </t>
  </si>
  <si>
    <t xml:space="preserve"> 2. 적격소유지분에 대한 투자가액의 이전 사업연도 잔액</t>
  </si>
  <si>
    <t xml:space="preserve"> 3. 적격소유지분에 대한 투자가액의 증액</t>
  </si>
  <si>
    <t xml:space="preserve"> 4. 적격소유지분에 대한 투자가액의 감액</t>
  </si>
  <si>
    <t xml:space="preserve"> 5. 적격소유지분에 대한 투자가액 잔액</t>
  </si>
  <si>
    <t>3.2.3.2 「국제조세조정에 관한 법률」 제78조에 따른 선택</t>
  </si>
  <si>
    <t xml:space="preserve"> 1. 간주분배세액 선택(「국제조세조정에 관한 법률」 제78조제1항)</t>
  </si>
  <si>
    <t>(a) 같은 법 시행령 제134조제2항, 같은 조 제4항부터 제8항까지 및 같은 법 시행규칙 제83조제1항에 따른 간주분배세액환입계정의 운용 방법 등</t>
  </si>
  <si>
    <t>1. 사업연도</t>
  </si>
  <si>
    <t>2. 간주분배세액결정 
(「국제조세조정에 관한 법률
시행령」 제134조제2항)</t>
  </si>
  <si>
    <t>3. 간주분배세액 환입계정</t>
  </si>
  <si>
    <t>4. 간주분배세액 환입계정 잔액</t>
  </si>
  <si>
    <t>직전 3년차 사업연도</t>
  </si>
  <si>
    <t>직전 전 사업연도</t>
  </si>
  <si>
    <t>직전 4년차</t>
  </si>
  <si>
    <t>직전 3년차</t>
  </si>
  <si>
    <t>해당없음</t>
  </si>
  <si>
    <t>직전 2년차</t>
  </si>
  <si>
    <t>직전연도</t>
  </si>
  <si>
    <t>(b) 간주분배세액 선택 구성기업의 이탈 등에 대한 「국제조세조정에 관한 법률 시행규칙」 제83조제2항부터 제4항까지의 적용</t>
  </si>
  <si>
    <t>1. 이전 사업연도 조정대상조세 감액</t>
  </si>
  <si>
    <t>2. 추가세액 재계산에 따른 추가세액 증가액</t>
  </si>
  <si>
    <t>3. 처분환입비율</t>
  </si>
  <si>
    <t>(b) 적격국제해운부수소득ㆍ결손에 대한 국가별 한도</t>
  </si>
  <si>
    <t xml:space="preserve"> 1. 모든 구성기업 또는 공동기업그룹 기업의 국제해운소득ㆍ결손 합계</t>
  </si>
  <si>
    <t xml:space="preserve"> 2. 50% 한도</t>
  </si>
  <si>
    <t xml:space="preserve"> 3. 모든 구성기업 또는 공동기업그룹 기업의 적격국제해운부수소득ㆍ결손 합계</t>
  </si>
  <si>
    <t xml:space="preserve"> 4. B가 A의 50%를 넘는 경우의 한도 초과액</t>
  </si>
  <si>
    <t>3.3 추가세액 계산</t>
  </si>
  <si>
    <t>3.3.1 추가세액</t>
  </si>
  <si>
    <t>a. 추가세액비율</t>
  </si>
  <si>
    <t>b. 실질기반제외소득</t>
  </si>
  <si>
    <t>c. 초과이익</t>
  </si>
  <si>
    <t>d. 당기추가세액가산액</t>
  </si>
  <si>
    <t>e. 적격소재국추가세액</t>
  </si>
  <si>
    <t>f. 추가세액</t>
  </si>
  <si>
    <t>3.3.2 실질기반제외소득의 계산(해당되는 경우)</t>
  </si>
  <si>
    <t>3.3.2.1 실질기반제외소득 합계</t>
  </si>
  <si>
    <t>인건비 제외금액</t>
  </si>
  <si>
    <t>유형자산 제외금액</t>
  </si>
  <si>
    <t>1. 적격종업원에 관한 해당기업
소재지국의 적격인건비</t>
  </si>
  <si>
    <t>2. 신고대상 사업연도에
적용되는 반영 비율</t>
  </si>
  <si>
    <t>3. 적격유형자산에 관한 해당기업
소재지국의 장부가액</t>
  </si>
  <si>
    <t>4. 신고대상 사업연도에 적용되는
반영 비율</t>
  </si>
  <si>
    <t xml:space="preserve">5. 실질기반제외소득 </t>
  </si>
  <si>
    <t>3.3.2.2 실질기반제외소득 계산 목적상 적격인건비 및 적격유형자산 장부가액의 고정사업장 배분</t>
  </si>
  <si>
    <t>1. 적격인건비</t>
  </si>
  <si>
    <t>2. 적격유형자산 장부가액</t>
  </si>
  <si>
    <t>3. 고정사업장 소재지국</t>
  </si>
  <si>
    <t>4. 고정사업장에 배분된 적격인건비</t>
  </si>
  <si>
    <t>5. 고정사업장에 배분된 적격유형자산 장부가액</t>
  </si>
  <si>
    <t>3.3.2.3 실질기반제외소득 계산 목적상 투과기업의 적격인건비 및 적격유형자산 장부가액의 배분</t>
  </si>
  <si>
    <t>3. 주주구성기업 (또는 주주인 
공동기업그룹 기업) 소재지국</t>
  </si>
  <si>
    <t>4. 주주구성기업 (또는 주주인 공동
기업그룹 기업)에 배분된 적격
인건비 (또는 실질기반제외소득
 계산에서 제외되는 금액)</t>
  </si>
  <si>
    <t>5. 주주구성기업 (또는 주주인 공동기업그룹 기업)에
배분된 적격유형자산 장부가액 (또는 
실질기반제외소득 계산에서 제외되는 금액)</t>
  </si>
  <si>
    <t>3.3.3 당기추가세액가산액</t>
  </si>
  <si>
    <t>3.3.3.1 「국제조세조정에 관한 법률 시행령」 제119조제2항 외의 당기추가세액가산액</t>
  </si>
  <si>
    <t>1. 관련 근거</t>
  </si>
  <si>
    <t>2. 관련 사업연도</t>
  </si>
  <si>
    <t xml:space="preserve">3. 당초신고 또는
재계산 </t>
  </si>
  <si>
    <t>4. 순글로벌최저한세
소득ㆍ결손</t>
  </si>
  <si>
    <t>5. 조정대상조세</t>
  </si>
  <si>
    <t>6. 실효세율</t>
  </si>
  <si>
    <t>7. 초과 이익</t>
  </si>
  <si>
    <t>8. 추가세액
   비율(%)</t>
  </si>
  <si>
    <t>9. 추가세액</t>
  </si>
  <si>
    <t>10. 당기추가세액
가산액</t>
  </si>
  <si>
    <t>이전 사업연도</t>
  </si>
  <si>
    <t xml:space="preserve"> a. 당초신고</t>
  </si>
  <si>
    <t xml:space="preserve"> b. 재계산</t>
  </si>
  <si>
    <t>3.3.3.2 「국제조세조정에 관한 법률 시행령」 제119조제2항에 따른 당기추가세액가산액</t>
  </si>
  <si>
    <t xml:space="preserve"> 1. 소재지국 조정대상조세(음수)</t>
  </si>
  <si>
    <t xml:space="preserve"> 2. 소재지국 순글로벌최저한세결손</t>
  </si>
  <si>
    <t xml:space="preserve"> 3. 조정대상조세 예상액</t>
  </si>
  <si>
    <t xml:space="preserve"> 4. 당기추가세액가산액</t>
  </si>
  <si>
    <t>3.3.4 적격소재국추가세액</t>
  </si>
  <si>
    <t xml:space="preserve"> 1. 회계기준</t>
  </si>
  <si>
    <t xml:space="preserve"> 2. 적격소재국추가세액</t>
  </si>
  <si>
    <t xml:space="preserve"> 3. 적격소재국추가세제도 최저한세율(15%보다 높은 경우) </t>
  </si>
  <si>
    <t xml:space="preserve"> 4. 실효세율 계산을 위한 소득 및 세금 합산 기준(글로벌최저한세 규칙과 다른 경우)</t>
  </si>
  <si>
    <t xml:space="preserve"> 5. 사용 통화(연결재무제표 작성 통화와 다른 경우)</t>
  </si>
  <si>
    <t xml:space="preserve"> 6. 연결재무제표 작성 통화 또는 현지통화 사용 여부 5년선택</t>
  </si>
  <si>
    <t>통화</t>
  </si>
  <si>
    <t>선택 사업연도</t>
  </si>
  <si>
    <t>취소 사업연도</t>
  </si>
  <si>
    <t xml:space="preserve"> 7. 실질기반제외소득 적용가능 여부 </t>
  </si>
  <si>
    <t xml:space="preserve"> 8. 최소적용제외 특례 적용가능 여부</t>
  </si>
  <si>
    <t>key</t>
  </si>
  <si>
    <t>value</t>
  </si>
  <si>
    <t>sheet:1.1~1.2</t>
  </si>
  <si>
    <t>1.1~1.2</t>
  </si>
  <si>
    <t>sheet:1.3.1</t>
  </si>
  <si>
    <t>1.3.1</t>
  </si>
  <si>
    <t>sheet:1.3.2.1</t>
  </si>
  <si>
    <t>1.3.2.1</t>
  </si>
  <si>
    <t>sheet:1.3.2.2</t>
  </si>
  <si>
    <t>1.3.2.2</t>
  </si>
  <si>
    <t>sheet:1.3.3</t>
  </si>
  <si>
    <t>1.3.3</t>
  </si>
  <si>
    <t>sheet:1.4</t>
  </si>
  <si>
    <t>1.4</t>
  </si>
  <si>
    <t>blockCount:1.3.1</t>
  </si>
  <si>
    <t>blockCount:1.3.2.1</t>
  </si>
  <si>
    <t>blockCount:1.3.2.2</t>
  </si>
  <si>
    <t>blockCount:1.3.3</t>
  </si>
  <si>
    <t>blockCount:1.4</t>
  </si>
  <si>
    <t>sheet:2</t>
  </si>
  <si>
    <t>2</t>
  </si>
  <si>
    <t>fileType</t>
  </si>
  <si>
    <t>group</t>
  </si>
  <si>
    <t>□</t>
  </si>
  <si>
    <t>과세권이 있는 국가</t>
    <phoneticPr fontId="2" type="noConversion"/>
  </si>
  <si>
    <t>추가세액 계산</t>
    <phoneticPr fontId="2" type="noConversion"/>
  </si>
  <si>
    <t>3.3.3.1</t>
    <phoneticPr fontId="2" type="noConversion"/>
  </si>
  <si>
    <t>관련 근거</t>
    <phoneticPr fontId="2" type="noConversion"/>
  </si>
  <si>
    <t>3.3.4.6</t>
    <phoneticPr fontId="2" type="noConversion"/>
  </si>
  <si>
    <t>통화</t>
    <phoneticPr fontId="2" type="noConversion"/>
  </si>
  <si>
    <t>GIR2601: Article 3.2.6
GIR2602: Article 4.4.4
GIR2603: Article 4.6.1
GIR2604: Article 4.6.4
GIR2605: Article 7.3.5
GIR2606: Article 7.3.7</t>
  </si>
  <si>
    <t>3.1.4~3.1.18</t>
    <phoneticPr fontId="2" type="noConversion"/>
  </si>
  <si>
    <t>각 내용을 컴마로 연결하여 기재</t>
    <phoneticPr fontId="2" type="noConversion"/>
  </si>
  <si>
    <t>3.2.4.4 국제해운소득ㆍ결손 제외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</si>
</sst>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76" formatCode="#,##0_);&quot;△&quot;#,##0_)"/>
  </numFmts>
  <fonts count="14" x14ac:knownFonts="1">
    <font>
      <sz val="11"/>
      <color theme="1"/>
      <name val="맑은 고딕"/>
      <family val="2"/>
      <charset val="129"/>
      <scheme val="minor"/>
    </font>
    <font>
      <sz val="11"/>
      <name val="돋움"/>
      <family val="3"/>
      <charset val="129"/>
    </font>
    <font>
      <sz val="8"/>
      <name val="맑은 고딕"/>
      <family val="2"/>
      <charset val="129"/>
      <scheme val="minor"/>
    </font>
    <font>
      <sz val="9"/>
      <color rgb="FF000000"/>
      <name val="맑은 고딕"/>
      <family val="3"/>
      <charset val="129"/>
      <scheme val="minor"/>
    </font>
    <font>
      <sz val="11"/>
      <color theme="1"/>
      <name val="맑은 고딕"/>
      <family val="3"/>
      <charset val="129"/>
      <scheme val="minor"/>
    </font>
    <font>
      <b/>
      <sz val="9"/>
      <color rgb="FF000000"/>
      <name val="맑은 고딕"/>
      <family val="3"/>
      <charset val="129"/>
      <scheme val="minor"/>
    </font>
    <font>
      <sz val="9"/>
      <color theme="1"/>
      <name val="맑은 고딕"/>
      <family val="3"/>
      <charset val="129"/>
      <scheme val="minor"/>
    </font>
    <font>
      <b/>
      <sz val="9"/>
      <color theme="1"/>
      <name val="맑은 고딕"/>
      <family val="3"/>
      <charset val="129"/>
      <scheme val="minor"/>
    </font>
    <font>
      <sz val="11"/>
      <color theme="1"/>
      <name val="맑은 고딕"/>
      <family val="2"/>
      <charset val="129"/>
      <scheme val="minor"/>
    </font>
    <font>
      <sz val="9"/>
      <color theme="1"/>
      <name val="맑은 고딕"/>
      <family val="2"/>
      <charset val="129"/>
      <scheme val="minor"/>
    </font>
    <font>
      <b/>
      <sz val="11"/>
      <color theme="1"/>
      <name val="맑은 고딕"/>
      <family val="3"/>
      <charset val="129"/>
      <scheme val="minor"/>
    </font>
    <font>
      <sz val="11"/>
      <color rgb="FFFF0000"/>
      <name val="맑은 고딕"/>
      <family val="3"/>
      <charset val="129"/>
      <scheme val="minor"/>
    </font>
    <font>
      <sz val="9"/>
      <color indexed="81"/>
      <name val="Tahoma"/>
      <family val="2"/>
    </font>
    <font>
      <sz val="9"/>
      <color indexed="81"/>
      <name val="돋움"/>
      <family val="3"/>
      <charset val="129"/>
    </font>
  </fonts>
  <fills count="3">
    <fill>
      <patternFill patternType="none"/>
    </fill>
    <fill>
      <patternFill patternType="gray125"/>
    </fill>
    <fill>
      <patternFill patternType="solid">
        <fgColor theme="0" tint="-4.9989318521683403E-2"/>
        <bgColor indexed="64"/>
      </patternFill>
    </fill>
  </fills>
  <borders count="27">
    <border>
      <left/>
      <right/>
      <top/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auto="1"/>
      </top>
      <bottom/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indexed="64"/>
      </right>
      <top/>
      <bottom/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auto="1"/>
      </top>
      <bottom style="thin">
        <color indexed="64"/>
      </bottom>
      <diagonal/>
    </border>
    <border>
      <left/>
      <right style="thin">
        <color indexed="64"/>
      </right>
      <top style="thin">
        <color auto="1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indexed="64"/>
      </top>
      <bottom style="thin">
        <color rgb="FF000000"/>
      </bottom>
      <diagonal/>
    </border>
    <border>
      <left/>
      <right/>
      <top style="thin">
        <color indexed="64"/>
      </top>
      <bottom style="thin">
        <color rgb="FF000000"/>
      </bottom>
      <diagonal/>
    </border>
    <border>
      <left/>
      <right style="thin">
        <color indexed="64"/>
      </right>
      <top style="thin">
        <color indexed="64"/>
      </top>
      <bottom style="thin">
        <color rgb="FF000000"/>
      </bottom>
      <diagonal/>
    </border>
    <border>
      <left/>
      <right style="thin">
        <color indexed="64"/>
      </right>
      <top style="thin">
        <color rgb="FF000000"/>
      </top>
      <bottom style="thin">
        <color rgb="FF000000"/>
      </bottom>
      <diagonal/>
    </border>
  </borders>
  <cellStyleXfs count="3">
    <xf numFmtId="0" fontId="0" fillId="0" borderId="0">
      <alignment vertical="center"/>
    </xf>
    <xf numFmtId="0" fontId="1" fillId="0" borderId="0"/>
    <xf numFmtId="9" fontId="8" fillId="0" borderId="0">
      <alignment vertical="center"/>
    </xf>
  </cellStyleXfs>
  <cellXfs count="132">
    <xf numFmtId="0" fontId="0" fillId="0" borderId="0" xfId="0">
      <alignment vertical="center"/>
    </xf>
    <xf numFmtId="0" fontId="4" fillId="0" borderId="0" xfId="0" applyFont="1">
      <alignment vertical="center"/>
    </xf>
    <xf numFmtId="0" fontId="0" fillId="0" borderId="0" xfId="0" applyAlignment="1"/>
    <xf numFmtId="0" fontId="3" fillId="0" borderId="2" xfId="0" applyFont="1" applyBorder="1">
      <alignment vertical="center"/>
    </xf>
    <xf numFmtId="0" fontId="6" fillId="0" borderId="0" xfId="0" applyFont="1">
      <alignment vertical="center"/>
    </xf>
    <xf numFmtId="176" fontId="6" fillId="0" borderId="4" xfId="0" applyNumberFormat="1" applyFont="1" applyBorder="1" applyAlignment="1">
      <alignment horizontal="right" vertical="center" shrinkToFit="1"/>
    </xf>
    <xf numFmtId="0" fontId="3" fillId="0" borderId="0" xfId="0" applyFont="1" applyAlignment="1">
      <alignment horizontal="left" vertical="center" wrapText="1"/>
    </xf>
    <xf numFmtId="0" fontId="3" fillId="0" borderId="0" xfId="0" applyFont="1" applyAlignment="1">
      <alignment horizontal="justify" vertical="center" wrapText="1"/>
    </xf>
    <xf numFmtId="0" fontId="3" fillId="0" borderId="11" xfId="0" applyFont="1" applyBorder="1" applyAlignment="1">
      <alignment horizontal="center" vertical="center" wrapText="1"/>
    </xf>
    <xf numFmtId="10" fontId="3" fillId="0" borderId="2" xfId="2" applyNumberFormat="1" applyFont="1" applyBorder="1" applyAlignment="1">
      <alignment horizontal="center" vertical="center"/>
    </xf>
    <xf numFmtId="10" fontId="6" fillId="0" borderId="4" xfId="2" applyNumberFormat="1" applyFont="1" applyBorder="1" applyAlignment="1">
      <alignment horizontal="center" vertical="center"/>
    </xf>
    <xf numFmtId="0" fontId="0" fillId="0" borderId="0" xfId="0" applyAlignment="1">
      <alignment horizontal="center" vertical="center"/>
    </xf>
    <xf numFmtId="0" fontId="0" fillId="0" borderId="4" xfId="0" applyBorder="1" applyAlignment="1">
      <alignment horizontal="center" vertical="center"/>
    </xf>
    <xf numFmtId="0" fontId="0" fillId="0" borderId="0" xfId="0" applyAlignment="1">
      <alignment horizontal="center" vertical="center" wrapText="1"/>
    </xf>
    <xf numFmtId="0" fontId="0" fillId="0" borderId="0" xfId="0" applyAlignment="1">
      <alignment horizontal="left" vertical="center" wrapText="1"/>
    </xf>
    <xf numFmtId="0" fontId="10" fillId="2" borderId="4" xfId="0" applyFont="1" applyFill="1" applyBorder="1" applyAlignment="1">
      <alignment horizontal="center" vertical="center"/>
    </xf>
    <xf numFmtId="0" fontId="10" fillId="2" borderId="4" xfId="0" applyFont="1" applyFill="1" applyBorder="1" applyAlignment="1">
      <alignment horizontal="center" vertical="center" wrapText="1"/>
    </xf>
    <xf numFmtId="0" fontId="0" fillId="0" borderId="4" xfId="0" applyBorder="1" applyAlignment="1">
      <alignment horizontal="center" vertical="center" wrapText="1"/>
    </xf>
    <xf numFmtId="0" fontId="0" fillId="0" borderId="4" xfId="0" applyBorder="1" applyAlignment="1">
      <alignment horizontal="left" vertical="center" wrapText="1"/>
    </xf>
    <xf numFmtId="0" fontId="11" fillId="0" borderId="0" xfId="0" applyFont="1">
      <alignment vertical="center"/>
    </xf>
    <xf numFmtId="0" fontId="6" fillId="0" borderId="14" xfId="0" applyFont="1" applyBorder="1" applyAlignment="1">
      <alignment horizontal="center" vertical="center"/>
    </xf>
    <xf numFmtId="0" fontId="6" fillId="0" borderId="11" xfId="0" applyFont="1" applyBorder="1" applyAlignment="1">
      <alignment horizontal="center" vertical="center" wrapText="1"/>
    </xf>
    <xf numFmtId="0" fontId="6" fillId="0" borderId="14" xfId="0" applyFont="1" applyBorder="1" applyAlignment="1">
      <alignment horizontal="center" vertical="center" wrapText="1"/>
    </xf>
    <xf numFmtId="0" fontId="5" fillId="0" borderId="1" xfId="0" applyFont="1" applyBorder="1" applyAlignment="1">
      <alignment horizontal="left" vertical="center" wrapText="1"/>
    </xf>
    <xf numFmtId="0" fontId="0" fillId="0" borderId="1" xfId="0" applyBorder="1" applyAlignment="1"/>
    <xf numFmtId="0" fontId="5" fillId="0" borderId="10" xfId="0" applyFont="1" applyBorder="1" applyAlignment="1">
      <alignment horizontal="left" vertical="center" wrapText="1"/>
    </xf>
    <xf numFmtId="0" fontId="0" fillId="0" borderId="10" xfId="0" applyBorder="1" applyAlignment="1"/>
    <xf numFmtId="0" fontId="3" fillId="0" borderId="14" xfId="0" applyFont="1" applyBorder="1" applyAlignment="1">
      <alignment horizontal="center" vertical="center" wrapText="1"/>
    </xf>
    <xf numFmtId="0" fontId="0" fillId="0" borderId="11" xfId="0" applyBorder="1" applyAlignment="1"/>
    <xf numFmtId="0" fontId="3" fillId="0" borderId="12" xfId="0" applyFont="1" applyBorder="1" applyAlignment="1">
      <alignment horizontal="center" vertical="center" wrapText="1"/>
    </xf>
    <xf numFmtId="176" fontId="3" fillId="0" borderId="2" xfId="0" applyNumberFormat="1" applyFont="1" applyBorder="1" applyAlignment="1">
      <alignment horizontal="right" vertical="center" shrinkToFit="1"/>
    </xf>
    <xf numFmtId="0" fontId="0" fillId="0" borderId="2" xfId="0" applyBorder="1" applyAlignment="1"/>
    <xf numFmtId="176" fontId="3" fillId="0" borderId="4" xfId="0" applyNumberFormat="1" applyFont="1" applyBorder="1" applyAlignment="1">
      <alignment horizontal="right" vertical="center" shrinkToFit="1"/>
    </xf>
    <xf numFmtId="176" fontId="3" fillId="0" borderId="3" xfId="0" applyNumberFormat="1" applyFont="1" applyBorder="1" applyAlignment="1">
      <alignment horizontal="right" vertical="center" shrinkToFit="1"/>
    </xf>
    <xf numFmtId="0" fontId="0" fillId="0" borderId="15" xfId="0" applyBorder="1" applyAlignment="1"/>
    <xf numFmtId="0" fontId="7" fillId="0" borderId="11" xfId="0" applyFont="1" applyBorder="1" applyAlignment="1">
      <alignment horizontal="center" vertical="center"/>
    </xf>
    <xf numFmtId="0" fontId="7" fillId="0" borderId="4" xfId="0" applyFont="1" applyBorder="1" applyAlignment="1">
      <alignment horizontal="center" vertical="center"/>
    </xf>
    <xf numFmtId="0" fontId="0" fillId="0" borderId="16" xfId="0" applyBorder="1" applyAlignment="1"/>
    <xf numFmtId="0" fontId="7" fillId="0" borderId="1" xfId="0" applyFont="1" applyBorder="1" applyAlignment="1">
      <alignment horizontal="center" vertical="center"/>
    </xf>
    <xf numFmtId="0" fontId="3" fillId="0" borderId="2" xfId="0" applyFont="1" applyBorder="1" applyAlignment="1">
      <alignment horizontal="center" vertical="center" wrapText="1"/>
    </xf>
    <xf numFmtId="0" fontId="3" fillId="0" borderId="4" xfId="0" applyFont="1" applyBorder="1" applyAlignment="1">
      <alignment horizontal="center" vertical="center" wrapText="1"/>
    </xf>
    <xf numFmtId="10" fontId="3" fillId="0" borderId="4" xfId="2" applyNumberFormat="1" applyFont="1" applyBorder="1" applyAlignment="1">
      <alignment horizontal="center" vertical="center"/>
    </xf>
    <xf numFmtId="10" fontId="0" fillId="0" borderId="1" xfId="0" applyNumberFormat="1" applyBorder="1" applyAlignment="1"/>
    <xf numFmtId="10" fontId="0" fillId="0" borderId="2" xfId="0" applyNumberFormat="1" applyBorder="1" applyAlignment="1"/>
    <xf numFmtId="0" fontId="3" fillId="0" borderId="11" xfId="0" applyFont="1" applyBorder="1" applyAlignment="1">
      <alignment horizontal="center" vertical="center" wrapText="1"/>
    </xf>
    <xf numFmtId="3" fontId="9" fillId="0" borderId="3" xfId="2" applyNumberFormat="1" applyFont="1" applyBorder="1" applyAlignment="1">
      <alignment horizontal="right" vertical="center"/>
    </xf>
    <xf numFmtId="3" fontId="9" fillId="0" borderId="1" xfId="2" applyNumberFormat="1" applyFont="1" applyBorder="1" applyAlignment="1">
      <alignment horizontal="right" vertical="center"/>
    </xf>
    <xf numFmtId="3" fontId="9" fillId="0" borderId="16" xfId="2" applyNumberFormat="1" applyFont="1" applyBorder="1" applyAlignment="1">
      <alignment horizontal="right" vertical="center"/>
    </xf>
    <xf numFmtId="0" fontId="3" fillId="0" borderId="4" xfId="0" applyFont="1" applyBorder="1">
      <alignment vertical="center"/>
    </xf>
    <xf numFmtId="0" fontId="5" fillId="0" borderId="15" xfId="0" applyFont="1" applyBorder="1" applyAlignment="1">
      <alignment horizontal="left" vertical="center" wrapText="1"/>
    </xf>
    <xf numFmtId="0" fontId="6" fillId="0" borderId="14" xfId="0" applyFont="1" applyBorder="1" applyAlignment="1">
      <alignment horizontal="center" vertical="center"/>
    </xf>
    <xf numFmtId="0" fontId="6" fillId="0" borderId="14" xfId="0" applyFont="1" applyBorder="1" applyAlignment="1">
      <alignment horizontal="center" vertical="center" wrapText="1"/>
    </xf>
    <xf numFmtId="0" fontId="6" fillId="0" borderId="4" xfId="0" applyFont="1" applyBorder="1" applyAlignment="1">
      <alignment horizontal="center" vertical="center" wrapText="1"/>
    </xf>
    <xf numFmtId="0" fontId="6" fillId="0" borderId="1" xfId="0" applyFont="1" applyBorder="1" applyAlignment="1">
      <alignment horizontal="center" vertical="center" wrapText="1"/>
    </xf>
    <xf numFmtId="0" fontId="6" fillId="0" borderId="2" xfId="0" applyFont="1" applyBorder="1" applyAlignment="1">
      <alignment horizontal="center" vertical="center" wrapText="1"/>
    </xf>
    <xf numFmtId="0" fontId="6" fillId="0" borderId="4" xfId="0" applyFont="1" applyBorder="1" applyAlignment="1">
      <alignment horizontal="center" vertical="center"/>
    </xf>
    <xf numFmtId="0" fontId="0" fillId="0" borderId="13" xfId="0" applyBorder="1" applyAlignment="1"/>
    <xf numFmtId="0" fontId="0" fillId="0" borderId="12" xfId="0" applyBorder="1" applyAlignment="1"/>
    <xf numFmtId="0" fontId="6" fillId="0" borderId="4" xfId="0" applyFont="1" applyBorder="1" applyAlignment="1">
      <alignment horizontal="left" vertical="center"/>
    </xf>
    <xf numFmtId="176" fontId="6" fillId="0" borderId="4" xfId="0" applyNumberFormat="1" applyFont="1" applyBorder="1" applyAlignment="1">
      <alignment horizontal="right" vertical="center" shrinkToFit="1"/>
    </xf>
    <xf numFmtId="176" fontId="6" fillId="0" borderId="12" xfId="0" applyNumberFormat="1" applyFont="1" applyBorder="1" applyAlignment="1">
      <alignment horizontal="right" vertical="center" shrinkToFit="1"/>
    </xf>
    <xf numFmtId="0" fontId="0" fillId="0" borderId="0" xfId="0" applyAlignment="1"/>
    <xf numFmtId="0" fontId="3" fillId="0" borderId="16" xfId="0" applyFont="1" applyBorder="1" applyAlignment="1">
      <alignment horizontal="left" vertical="center"/>
    </xf>
    <xf numFmtId="176" fontId="3" fillId="0" borderId="1" xfId="0" applyNumberFormat="1" applyFont="1" applyBorder="1" applyAlignment="1">
      <alignment horizontal="right" vertical="center" shrinkToFit="1"/>
    </xf>
    <xf numFmtId="0" fontId="3" fillId="0" borderId="1" xfId="0" applyFont="1" applyBorder="1" applyAlignment="1">
      <alignment horizontal="center" vertical="center" wrapText="1"/>
    </xf>
    <xf numFmtId="0" fontId="0" fillId="0" borderId="1" xfId="0" applyBorder="1" applyAlignment="1">
      <alignment horizontal="center"/>
    </xf>
    <xf numFmtId="10" fontId="3" fillId="0" borderId="1" xfId="2" applyNumberFormat="1" applyFont="1" applyBorder="1" applyAlignment="1">
      <alignment horizontal="center" vertical="center" wrapText="1"/>
    </xf>
    <xf numFmtId="0" fontId="3" fillId="0" borderId="3" xfId="0" applyFont="1" applyBorder="1" applyAlignment="1">
      <alignment horizontal="center" vertical="center" wrapText="1"/>
    </xf>
    <xf numFmtId="0" fontId="3" fillId="0" borderId="2" xfId="0" applyFont="1" applyBorder="1" applyAlignment="1">
      <alignment horizontal="left" vertical="center"/>
    </xf>
    <xf numFmtId="0" fontId="4" fillId="0" borderId="3" xfId="0" applyFont="1" applyBorder="1" applyAlignment="1">
      <alignment horizontal="center" vertical="center"/>
    </xf>
    <xf numFmtId="0" fontId="0" fillId="0" borderId="5" xfId="0" applyBorder="1" applyAlignment="1"/>
    <xf numFmtId="0" fontId="0" fillId="0" borderId="17" xfId="0" applyBorder="1" applyAlignment="1"/>
    <xf numFmtId="0" fontId="6" fillId="0" borderId="3" xfId="0" applyFont="1" applyBorder="1" applyAlignment="1">
      <alignment horizontal="center" vertical="center"/>
    </xf>
    <xf numFmtId="0" fontId="6" fillId="0" borderId="10" xfId="0" applyFont="1" applyBorder="1" applyAlignment="1">
      <alignment horizontal="center" vertical="center"/>
    </xf>
    <xf numFmtId="0" fontId="5" fillId="0" borderId="15" xfId="0" applyFont="1" applyBorder="1" applyAlignment="1">
      <alignment horizontal="justify" vertical="center" wrapText="1"/>
    </xf>
    <xf numFmtId="0" fontId="5" fillId="0" borderId="1" xfId="0" applyFont="1" applyBorder="1" applyAlignment="1">
      <alignment horizontal="justify" vertical="center" wrapText="1"/>
    </xf>
    <xf numFmtId="0" fontId="3" fillId="0" borderId="11" xfId="0" applyFont="1" applyBorder="1" applyAlignment="1">
      <alignment horizontal="left" vertical="center"/>
    </xf>
    <xf numFmtId="0" fontId="3" fillId="0" borderId="0" xfId="0" applyFont="1" applyAlignment="1">
      <alignment horizontal="center" vertical="center" wrapText="1"/>
    </xf>
    <xf numFmtId="0" fontId="3" fillId="0" borderId="15" xfId="0" applyFont="1" applyBorder="1" applyAlignment="1">
      <alignment horizontal="center" vertical="center" wrapText="1"/>
    </xf>
    <xf numFmtId="0" fontId="3" fillId="0" borderId="11" xfId="0" applyFont="1" applyBorder="1" applyAlignment="1">
      <alignment horizontal="center" vertical="center"/>
    </xf>
    <xf numFmtId="0" fontId="3" fillId="0" borderId="14" xfId="0" applyFont="1" applyBorder="1" applyAlignment="1">
      <alignment horizontal="center" vertical="center"/>
    </xf>
    <xf numFmtId="10" fontId="3" fillId="0" borderId="3" xfId="2" applyNumberFormat="1" applyFont="1" applyBorder="1" applyAlignment="1">
      <alignment horizontal="center" vertical="center" wrapText="1"/>
    </xf>
    <xf numFmtId="0" fontId="5" fillId="0" borderId="1" xfId="0" applyFont="1" applyBorder="1" applyAlignment="1">
      <alignment vertical="center" wrapText="1"/>
    </xf>
    <xf numFmtId="176" fontId="3" fillId="0" borderId="10" xfId="0" applyNumberFormat="1" applyFont="1" applyBorder="1" applyAlignment="1">
      <alignment horizontal="right" vertical="center" shrinkToFit="1"/>
    </xf>
    <xf numFmtId="0" fontId="5" fillId="0" borderId="1" xfId="0" applyFont="1" applyBorder="1" applyAlignment="1">
      <alignment horizontal="center" vertical="center" wrapText="1"/>
    </xf>
    <xf numFmtId="0" fontId="3" fillId="0" borderId="1" xfId="0" applyFont="1" applyBorder="1" applyAlignment="1">
      <alignment horizontal="left" vertical="center"/>
    </xf>
    <xf numFmtId="0" fontId="3" fillId="0" borderId="10" xfId="0" applyFont="1" applyBorder="1" applyAlignment="1">
      <alignment horizontal="left" vertical="center"/>
    </xf>
    <xf numFmtId="0" fontId="5" fillId="0" borderId="15" xfId="0" applyFont="1" applyBorder="1" applyAlignment="1">
      <alignment vertical="center" wrapText="1"/>
    </xf>
    <xf numFmtId="0" fontId="3" fillId="0" borderId="15" xfId="0" applyFont="1" applyBorder="1" applyAlignment="1">
      <alignment horizontal="left" vertical="center" wrapText="1"/>
    </xf>
    <xf numFmtId="0" fontId="3" fillId="0" borderId="1" xfId="0" applyFont="1" applyBorder="1" applyAlignment="1">
      <alignment horizontal="center" vertical="center"/>
    </xf>
    <xf numFmtId="0" fontId="3" fillId="0" borderId="3" xfId="0" applyFont="1" applyBorder="1" applyAlignment="1">
      <alignment horizontal="center" vertical="center"/>
    </xf>
    <xf numFmtId="0" fontId="5" fillId="0" borderId="1" xfId="0" applyFont="1" applyBorder="1" applyAlignment="1">
      <alignment horizontal="center" vertical="center"/>
    </xf>
    <xf numFmtId="0" fontId="6" fillId="0" borderId="15" xfId="0" applyFont="1" applyBorder="1" applyAlignment="1">
      <alignment horizontal="center" vertical="center" wrapText="1"/>
    </xf>
    <xf numFmtId="0" fontId="4" fillId="0" borderId="0" xfId="0" applyFont="1">
      <alignment vertical="center"/>
    </xf>
    <xf numFmtId="0" fontId="0" fillId="0" borderId="9" xfId="0" applyBorder="1" applyAlignment="1"/>
    <xf numFmtId="0" fontId="6" fillId="0" borderId="18" xfId="0" applyFont="1" applyBorder="1">
      <alignment vertical="center"/>
    </xf>
    <xf numFmtId="176" fontId="3" fillId="0" borderId="15" xfId="0" applyNumberFormat="1" applyFont="1" applyBorder="1" applyAlignment="1">
      <alignment horizontal="right" vertical="center" shrinkToFit="1"/>
    </xf>
    <xf numFmtId="0" fontId="6" fillId="0" borderId="3" xfId="0" applyFont="1" applyBorder="1">
      <alignment vertical="center"/>
    </xf>
    <xf numFmtId="0" fontId="6" fillId="0" borderId="15" xfId="0" applyFont="1" applyBorder="1" applyAlignment="1">
      <alignment horizontal="left" vertical="center" wrapText="1"/>
    </xf>
    <xf numFmtId="0" fontId="5" fillId="0" borderId="15" xfId="0" applyFont="1" applyBorder="1" applyAlignment="1">
      <alignment horizontal="center" vertical="center" wrapText="1"/>
    </xf>
    <xf numFmtId="0" fontId="3" fillId="0" borderId="15" xfId="0" applyFont="1" applyBorder="1" applyAlignment="1">
      <alignment horizontal="left" vertical="center"/>
    </xf>
    <xf numFmtId="176" fontId="3" fillId="0" borderId="0" xfId="0" applyNumberFormat="1" applyFont="1" applyAlignment="1">
      <alignment horizontal="right" vertical="center" shrinkToFit="1"/>
    </xf>
    <xf numFmtId="0" fontId="0" fillId="0" borderId="16" xfId="0" applyBorder="1" applyAlignment="1">
      <alignment horizontal="center"/>
    </xf>
    <xf numFmtId="0" fontId="3" fillId="0" borderId="1" xfId="0" applyFont="1" applyBorder="1">
      <alignment vertical="center"/>
    </xf>
    <xf numFmtId="0" fontId="3" fillId="0" borderId="16" xfId="0" applyFont="1" applyBorder="1" applyAlignment="1">
      <alignment horizontal="center" vertical="center"/>
    </xf>
    <xf numFmtId="0" fontId="3" fillId="0" borderId="4" xfId="0" applyFont="1" applyBorder="1" applyAlignment="1">
      <alignment horizontal="center" vertical="center"/>
    </xf>
    <xf numFmtId="0" fontId="3" fillId="0" borderId="2" xfId="0" applyFont="1" applyBorder="1" applyAlignment="1">
      <alignment vertical="center" wrapText="1"/>
    </xf>
    <xf numFmtId="0" fontId="3" fillId="0" borderId="20" xfId="0" applyFont="1" applyBorder="1" applyAlignment="1">
      <alignment horizontal="center" vertical="center" wrapText="1"/>
    </xf>
    <xf numFmtId="0" fontId="0" fillId="0" borderId="21" xfId="0" applyBorder="1" applyAlignment="1"/>
    <xf numFmtId="0" fontId="0" fillId="0" borderId="20" xfId="0" applyBorder="1" applyAlignment="1"/>
    <xf numFmtId="0" fontId="3" fillId="0" borderId="22" xfId="0" applyFont="1" applyBorder="1" applyAlignment="1">
      <alignment horizontal="center" vertical="center" wrapText="1"/>
    </xf>
    <xf numFmtId="0" fontId="3" fillId="0" borderId="23" xfId="0" applyFont="1" applyBorder="1" applyAlignment="1">
      <alignment horizontal="center" vertical="center" wrapText="1"/>
    </xf>
    <xf numFmtId="0" fontId="0" fillId="0" borderId="24" xfId="0" applyBorder="1" applyAlignment="1"/>
    <xf numFmtId="0" fontId="0" fillId="0" borderId="25" xfId="0" applyBorder="1" applyAlignment="1"/>
    <xf numFmtId="176" fontId="3" fillId="0" borderId="6" xfId="0" applyNumberFormat="1" applyFont="1" applyBorder="1" applyAlignment="1">
      <alignment horizontal="right" vertical="center" shrinkToFit="1"/>
    </xf>
    <xf numFmtId="0" fontId="0" fillId="0" borderId="7" xfId="0" applyBorder="1" applyAlignment="1"/>
    <xf numFmtId="0" fontId="0" fillId="0" borderId="6" xfId="0" applyBorder="1" applyAlignment="1"/>
    <xf numFmtId="176" fontId="5" fillId="0" borderId="8" xfId="0" applyNumberFormat="1" applyFont="1" applyBorder="1" applyAlignment="1">
      <alignment horizontal="right" vertical="center" shrinkToFit="1"/>
    </xf>
    <xf numFmtId="0" fontId="0" fillId="0" borderId="26" xfId="0" applyBorder="1" applyAlignment="1"/>
    <xf numFmtId="0" fontId="5" fillId="0" borderId="11" xfId="0" applyFont="1" applyBorder="1" applyAlignment="1">
      <alignment horizontal="left" vertical="center"/>
    </xf>
    <xf numFmtId="0" fontId="3" fillId="0" borderId="19" xfId="0" applyFont="1" applyBorder="1" applyAlignment="1">
      <alignment horizontal="center" vertical="center" wrapText="1"/>
    </xf>
    <xf numFmtId="0" fontId="3" fillId="0" borderId="18" xfId="0" applyFont="1" applyBorder="1" applyAlignment="1">
      <alignment horizontal="center" vertical="center" wrapText="1"/>
    </xf>
    <xf numFmtId="0" fontId="5" fillId="0" borderId="2" xfId="0" applyFont="1" applyBorder="1" applyAlignment="1">
      <alignment horizontal="left" vertical="center"/>
    </xf>
    <xf numFmtId="0" fontId="5" fillId="0" borderId="4" xfId="0" applyFont="1" applyBorder="1" applyAlignment="1">
      <alignment horizontal="center" vertical="center" wrapText="1"/>
    </xf>
    <xf numFmtId="0" fontId="5" fillId="0" borderId="3" xfId="0" applyFont="1" applyBorder="1" applyAlignment="1">
      <alignment horizontal="center" vertical="center" wrapText="1"/>
    </xf>
    <xf numFmtId="176" fontId="3" fillId="0" borderId="3" xfId="0" applyNumberFormat="1" applyFont="1" applyBorder="1" applyAlignment="1">
      <alignment horizontal="center" vertical="center" shrinkToFit="1"/>
    </xf>
    <xf numFmtId="10" fontId="3" fillId="2" borderId="18" xfId="2" applyNumberFormat="1" applyFont="1" applyFill="1" applyBorder="1" applyAlignment="1">
      <alignment horizontal="center" vertical="center" wrapText="1"/>
    </xf>
    <xf numFmtId="10" fontId="3" fillId="2" borderId="15" xfId="2" applyNumberFormat="1" applyFont="1" applyFill="1" applyBorder="1" applyAlignment="1">
      <alignment horizontal="center" vertical="center" wrapText="1"/>
    </xf>
    <xf numFmtId="10" fontId="3" fillId="2" borderId="19" xfId="2" applyNumberFormat="1" applyFont="1" applyFill="1" applyBorder="1" applyAlignment="1">
      <alignment horizontal="center" vertical="center" wrapText="1"/>
    </xf>
    <xf numFmtId="10" fontId="3" fillId="2" borderId="0" xfId="2" applyNumberFormat="1" applyFont="1" applyFill="1" applyBorder="1" applyAlignment="1">
      <alignment horizontal="center" vertical="center" wrapText="1"/>
    </xf>
    <xf numFmtId="10" fontId="3" fillId="2" borderId="12" xfId="2" applyNumberFormat="1" applyFont="1" applyFill="1" applyBorder="1" applyAlignment="1">
      <alignment horizontal="center" vertical="center" wrapText="1"/>
    </xf>
    <xf numFmtId="10" fontId="3" fillId="2" borderId="10" xfId="2" applyNumberFormat="1" applyFont="1" applyFill="1" applyBorder="1" applyAlignment="1">
      <alignment horizontal="center" vertical="center" wrapText="1"/>
    </xf>
  </cellXfs>
  <cellStyles count="3">
    <cellStyle name="백분율" xfId="2" builtinId="5"/>
    <cellStyle name="표준" xfId="0" builtinId="0"/>
    <cellStyle name="표준 2" xfId="1" xr:uid="{00000000-0005-0000-0000-000001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FA09140-2E6D-46C2-9CD7-AEAE74B8FD55}">
  <sheetPr>
    <tabColor theme="5" tint="0.79998168889431442"/>
  </sheetPr>
  <dimension ref="B2:F9"/>
  <sheetViews>
    <sheetView showGridLines="0" topLeftCell="A5" workbookViewId="0">
      <selection activeCell="D6" sqref="D6"/>
    </sheetView>
  </sheetViews>
  <sheetFormatPr defaultRowHeight="17.600000000000001" x14ac:dyDescent="0.55000000000000004"/>
  <cols>
    <col min="1" max="1" width="2.85546875" customWidth="1"/>
    <col min="2" max="2" width="19.0703125" style="11" bestFit="1" customWidth="1"/>
    <col min="3" max="3" width="13.140625" style="11" customWidth="1"/>
    <col min="4" max="4" width="64.78515625" style="13" customWidth="1"/>
    <col min="5" max="5" width="67.7109375" style="14" customWidth="1"/>
    <col min="6" max="6" width="22.2109375" style="11" bestFit="1" customWidth="1"/>
  </cols>
  <sheetData>
    <row r="2" spans="2:6" x14ac:dyDescent="0.55000000000000004">
      <c r="B2" s="15" t="s">
        <v>0</v>
      </c>
      <c r="C2" s="15" t="s">
        <v>1</v>
      </c>
      <c r="D2" s="16" t="s">
        <v>2</v>
      </c>
      <c r="E2" s="16" t="s">
        <v>3</v>
      </c>
      <c r="F2" s="16" t="s">
        <v>4</v>
      </c>
    </row>
    <row r="3" spans="2:6" x14ac:dyDescent="0.55000000000000004">
      <c r="B3" s="12" t="s">
        <v>11</v>
      </c>
      <c r="C3" s="12" t="s">
        <v>12</v>
      </c>
      <c r="D3" s="17" t="s">
        <v>13</v>
      </c>
      <c r="E3" s="18" t="s">
        <v>9</v>
      </c>
      <c r="F3" s="12"/>
    </row>
    <row r="4" spans="2:6" ht="158.15" customHeight="1" x14ac:dyDescent="0.55000000000000004">
      <c r="B4" s="12" t="s">
        <v>11</v>
      </c>
      <c r="C4" s="12" t="s">
        <v>10</v>
      </c>
      <c r="D4" s="17" t="s">
        <v>8</v>
      </c>
      <c r="E4" s="18" t="s">
        <v>15</v>
      </c>
      <c r="F4" s="12" t="s">
        <v>6</v>
      </c>
    </row>
    <row r="5" spans="2:6" ht="158.15" customHeight="1" x14ac:dyDescent="0.55000000000000004">
      <c r="B5" s="12" t="s">
        <v>11</v>
      </c>
      <c r="C5" s="12" t="s">
        <v>14</v>
      </c>
      <c r="D5" s="17" t="s">
        <v>16</v>
      </c>
      <c r="E5" s="18" t="s">
        <v>5</v>
      </c>
      <c r="F5" s="12"/>
    </row>
    <row r="6" spans="2:6" ht="158.15" customHeight="1" x14ac:dyDescent="0.55000000000000004">
      <c r="B6" s="12"/>
      <c r="C6" s="12" t="s">
        <v>319</v>
      </c>
      <c r="D6" s="17" t="s">
        <v>312</v>
      </c>
      <c r="E6" s="18" t="s">
        <v>320</v>
      </c>
      <c r="F6" s="12"/>
    </row>
    <row r="7" spans="2:6" ht="35.15" customHeight="1" x14ac:dyDescent="0.55000000000000004">
      <c r="B7" s="12" t="s">
        <v>11</v>
      </c>
      <c r="C7" s="12" t="s">
        <v>17</v>
      </c>
      <c r="D7" s="17" t="s">
        <v>18</v>
      </c>
      <c r="E7" s="18" t="s">
        <v>19</v>
      </c>
      <c r="F7" s="12"/>
    </row>
    <row r="8" spans="2:6" ht="105.45" x14ac:dyDescent="0.55000000000000004">
      <c r="B8" s="12" t="s">
        <v>313</v>
      </c>
      <c r="C8" s="12" t="s">
        <v>314</v>
      </c>
      <c r="D8" s="17" t="s">
        <v>315</v>
      </c>
      <c r="E8" s="18" t="s">
        <v>318</v>
      </c>
      <c r="F8" s="12"/>
    </row>
    <row r="9" spans="2:6" x14ac:dyDescent="0.55000000000000004">
      <c r="B9" s="12" t="s">
        <v>313</v>
      </c>
      <c r="C9" s="12" t="s">
        <v>316</v>
      </c>
      <c r="D9" s="17" t="s">
        <v>317</v>
      </c>
      <c r="E9" s="18" t="s">
        <v>7</v>
      </c>
      <c r="F9" s="12"/>
    </row>
  </sheetData>
  <phoneticPr fontId="2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sheetPr codeName="Sheet13">
    <tabColor theme="5" tint="0.79998168889431442"/>
    <pageSetUpPr fitToPage="1"/>
  </sheetPr>
  <dimension ref="B2:S259"/>
  <sheetViews>
    <sheetView showGridLines="0" tabSelected="1" zoomScale="85" zoomScaleNormal="85" zoomScaleSheetLayoutView="85" workbookViewId="0">
      <selection activeCell="O8" sqref="O8:R22"/>
    </sheetView>
  </sheetViews>
  <sheetFormatPr defaultColWidth="8.78515625" defaultRowHeight="17.600000000000001" x14ac:dyDescent="0.55000000000000004"/>
  <cols>
    <col min="1" max="1" width="2" style="1" customWidth="1"/>
    <col min="2" max="2" width="14.0703125" style="1" customWidth="1"/>
    <col min="3" max="3" width="10.78515625" style="1" customWidth="1"/>
    <col min="4" max="4" width="7.5" style="1" customWidth="1"/>
    <col min="5" max="5" width="6" style="1" customWidth="1"/>
    <col min="6" max="6" width="9.5" style="1" customWidth="1"/>
    <col min="7" max="7" width="5.92578125" style="1" customWidth="1"/>
    <col min="8" max="8" width="7.5" style="1" customWidth="1"/>
    <col min="9" max="9" width="6.7109375" style="1" customWidth="1"/>
    <col min="10" max="10" width="13.92578125" style="1" customWidth="1"/>
    <col min="11" max="11" width="11" style="1" customWidth="1"/>
    <col min="12" max="12" width="8.5703125" style="1" customWidth="1"/>
    <col min="13" max="13" width="9.42578125" style="1" customWidth="1"/>
    <col min="14" max="14" width="10.2109375" style="1" customWidth="1"/>
    <col min="15" max="15" width="5.92578125" style="1" customWidth="1"/>
    <col min="16" max="16" width="8.2109375" style="1" customWidth="1"/>
    <col min="17" max="17" width="5.0703125" style="1" customWidth="1"/>
    <col min="18" max="18" width="10.78515625" style="1" customWidth="1"/>
    <col min="19" max="19" width="8.78515625" style="1" customWidth="1"/>
    <col min="20" max="16384" width="8.78515625" style="1"/>
  </cols>
  <sheetData>
    <row r="2" spans="2:18" ht="24" customHeight="1" x14ac:dyDescent="0.55000000000000004">
      <c r="B2" s="74" t="s">
        <v>20</v>
      </c>
      <c r="C2" s="34"/>
      <c r="D2" s="34"/>
      <c r="E2" s="34"/>
      <c r="F2" s="34"/>
      <c r="G2" s="34"/>
      <c r="H2" s="34"/>
      <c r="I2" s="34"/>
      <c r="J2" s="34"/>
      <c r="K2" s="34"/>
      <c r="L2" s="34"/>
      <c r="M2" s="34"/>
      <c r="N2" s="34"/>
      <c r="O2" s="34"/>
      <c r="P2" s="34"/>
      <c r="Q2" s="34"/>
      <c r="R2" s="34"/>
    </row>
    <row r="3" spans="2:18" ht="30" customHeight="1" x14ac:dyDescent="0.55000000000000004">
      <c r="B3" s="74" t="s">
        <v>21</v>
      </c>
      <c r="C3" s="34"/>
      <c r="D3" s="34"/>
      <c r="E3" s="34"/>
      <c r="F3" s="34"/>
      <c r="G3" s="34"/>
      <c r="H3" s="34"/>
      <c r="I3" s="34"/>
      <c r="J3" s="34"/>
      <c r="K3" s="34"/>
      <c r="L3" s="34"/>
      <c r="M3" s="34"/>
      <c r="N3" s="34"/>
      <c r="O3" s="34"/>
      <c r="P3" s="34"/>
      <c r="Q3" s="34"/>
      <c r="R3" s="34"/>
    </row>
    <row r="4" spans="2:18" ht="24" customHeight="1" x14ac:dyDescent="0.55000000000000004">
      <c r="B4" s="75" t="s">
        <v>22</v>
      </c>
      <c r="C4" s="24"/>
      <c r="D4" s="24"/>
      <c r="E4" s="24"/>
      <c r="F4" s="24"/>
      <c r="G4" s="24"/>
      <c r="H4" s="24"/>
      <c r="I4" s="24"/>
      <c r="J4" s="24"/>
      <c r="K4" s="24"/>
      <c r="L4" s="24"/>
      <c r="M4" s="24"/>
      <c r="N4" s="24"/>
      <c r="O4" s="24"/>
      <c r="P4" s="24"/>
      <c r="Q4" s="24"/>
      <c r="R4" s="24"/>
    </row>
    <row r="5" spans="2:18" ht="24" customHeight="1" x14ac:dyDescent="0.55000000000000004">
      <c r="B5" s="76" t="s">
        <v>23</v>
      </c>
      <c r="C5" s="26"/>
      <c r="D5" s="26"/>
      <c r="E5" s="26"/>
      <c r="F5" s="26"/>
      <c r="G5" s="26"/>
      <c r="H5" s="26"/>
      <c r="I5" s="26"/>
      <c r="J5" s="26"/>
      <c r="K5" s="26"/>
      <c r="L5" s="26"/>
      <c r="M5" s="26"/>
      <c r="N5" s="28"/>
      <c r="O5" s="77"/>
      <c r="P5" s="61"/>
      <c r="Q5" s="61"/>
      <c r="R5" s="61"/>
    </row>
    <row r="6" spans="2:18" ht="24" customHeight="1" x14ac:dyDescent="0.55000000000000004">
      <c r="B6" s="62" t="s">
        <v>24</v>
      </c>
      <c r="C6" s="24"/>
      <c r="D6" s="24"/>
      <c r="E6" s="24"/>
      <c r="F6" s="24"/>
      <c r="G6" s="24"/>
      <c r="H6" s="24"/>
      <c r="I6" s="24"/>
      <c r="J6" s="24"/>
      <c r="K6" s="24"/>
      <c r="L6" s="24"/>
      <c r="M6" s="24"/>
      <c r="N6" s="37"/>
      <c r="O6" s="78"/>
      <c r="P6" s="34"/>
      <c r="Q6" s="34"/>
      <c r="R6" s="34"/>
    </row>
    <row r="7" spans="2:18" ht="24" customHeight="1" x14ac:dyDescent="0.55000000000000004">
      <c r="B7" s="62" t="s">
        <v>25</v>
      </c>
      <c r="C7" s="24"/>
      <c r="D7" s="24"/>
      <c r="E7" s="24"/>
      <c r="F7" s="24"/>
      <c r="G7" s="24"/>
      <c r="H7" s="24"/>
      <c r="I7" s="24"/>
      <c r="J7" s="24"/>
      <c r="K7" s="24"/>
      <c r="L7" s="24"/>
      <c r="M7" s="24"/>
      <c r="N7" s="37"/>
      <c r="O7" s="78"/>
      <c r="P7" s="34"/>
      <c r="Q7" s="34"/>
      <c r="R7" s="34"/>
    </row>
    <row r="8" spans="2:18" ht="24" customHeight="1" x14ac:dyDescent="0.55000000000000004">
      <c r="B8" s="62" t="s">
        <v>26</v>
      </c>
      <c r="C8" s="24"/>
      <c r="D8" s="24"/>
      <c r="E8" s="24"/>
      <c r="F8" s="24"/>
      <c r="G8" s="24"/>
      <c r="H8" s="24"/>
      <c r="I8" s="24"/>
      <c r="J8" s="24"/>
      <c r="K8" s="24"/>
      <c r="L8" s="24"/>
      <c r="M8" s="24"/>
      <c r="N8" s="37"/>
      <c r="O8" s="126"/>
      <c r="P8" s="127"/>
      <c r="Q8" s="127"/>
      <c r="R8" s="127"/>
    </row>
    <row r="9" spans="2:18" ht="24" customHeight="1" x14ac:dyDescent="0.55000000000000004">
      <c r="B9" s="62" t="s">
        <v>27</v>
      </c>
      <c r="C9" s="24"/>
      <c r="D9" s="24"/>
      <c r="E9" s="24"/>
      <c r="F9" s="24"/>
      <c r="G9" s="24"/>
      <c r="H9" s="24"/>
      <c r="I9" s="24"/>
      <c r="J9" s="24"/>
      <c r="K9" s="24"/>
      <c r="L9" s="24"/>
      <c r="M9" s="24"/>
      <c r="N9" s="37"/>
      <c r="O9" s="128"/>
      <c r="P9" s="129"/>
      <c r="Q9" s="129"/>
      <c r="R9" s="129"/>
    </row>
    <row r="10" spans="2:18" ht="24" customHeight="1" x14ac:dyDescent="0.55000000000000004">
      <c r="B10" s="62" t="s">
        <v>28</v>
      </c>
      <c r="C10" s="24"/>
      <c r="D10" s="24"/>
      <c r="E10" s="24"/>
      <c r="F10" s="24"/>
      <c r="G10" s="24"/>
      <c r="H10" s="24"/>
      <c r="I10" s="24"/>
      <c r="J10" s="24"/>
      <c r="K10" s="24"/>
      <c r="L10" s="24"/>
      <c r="M10" s="24"/>
      <c r="N10" s="37"/>
      <c r="O10" s="128"/>
      <c r="P10" s="129"/>
      <c r="Q10" s="129"/>
      <c r="R10" s="129"/>
    </row>
    <row r="11" spans="2:18" ht="24" customHeight="1" x14ac:dyDescent="0.55000000000000004">
      <c r="B11" s="62" t="s">
        <v>29</v>
      </c>
      <c r="C11" s="24"/>
      <c r="D11" s="24"/>
      <c r="E11" s="24"/>
      <c r="F11" s="24"/>
      <c r="G11" s="24"/>
      <c r="H11" s="24"/>
      <c r="I11" s="24"/>
      <c r="J11" s="24"/>
      <c r="K11" s="24"/>
      <c r="L11" s="24"/>
      <c r="M11" s="24"/>
      <c r="N11" s="37"/>
      <c r="O11" s="128"/>
      <c r="P11" s="129"/>
      <c r="Q11" s="129"/>
      <c r="R11" s="129"/>
    </row>
    <row r="12" spans="2:18" ht="24" customHeight="1" x14ac:dyDescent="0.55000000000000004">
      <c r="B12" s="62" t="s">
        <v>30</v>
      </c>
      <c r="C12" s="24"/>
      <c r="D12" s="24"/>
      <c r="E12" s="24"/>
      <c r="F12" s="24"/>
      <c r="G12" s="24"/>
      <c r="H12" s="24"/>
      <c r="I12" s="24"/>
      <c r="J12" s="24"/>
      <c r="K12" s="24"/>
      <c r="L12" s="24"/>
      <c r="M12" s="24"/>
      <c r="N12" s="37"/>
      <c r="O12" s="128"/>
      <c r="P12" s="129"/>
      <c r="Q12" s="129"/>
      <c r="R12" s="129"/>
    </row>
    <row r="13" spans="2:18" ht="24" customHeight="1" x14ac:dyDescent="0.55000000000000004">
      <c r="B13" s="62" t="s">
        <v>31</v>
      </c>
      <c r="C13" s="24"/>
      <c r="D13" s="24"/>
      <c r="E13" s="24"/>
      <c r="F13" s="24"/>
      <c r="G13" s="24"/>
      <c r="H13" s="24"/>
      <c r="I13" s="24"/>
      <c r="J13" s="24"/>
      <c r="K13" s="24"/>
      <c r="L13" s="24"/>
      <c r="M13" s="24"/>
      <c r="N13" s="37"/>
      <c r="O13" s="128"/>
      <c r="P13" s="129"/>
      <c r="Q13" s="129"/>
      <c r="R13" s="129"/>
    </row>
    <row r="14" spans="2:18" ht="24" customHeight="1" x14ac:dyDescent="0.55000000000000004">
      <c r="B14" s="62" t="s">
        <v>32</v>
      </c>
      <c r="C14" s="24"/>
      <c r="D14" s="24"/>
      <c r="E14" s="24"/>
      <c r="F14" s="24"/>
      <c r="G14" s="24"/>
      <c r="H14" s="24"/>
      <c r="I14" s="24"/>
      <c r="J14" s="24"/>
      <c r="K14" s="24"/>
      <c r="L14" s="24"/>
      <c r="M14" s="24"/>
      <c r="N14" s="37"/>
      <c r="O14" s="128"/>
      <c r="P14" s="129"/>
      <c r="Q14" s="129"/>
      <c r="R14" s="129"/>
    </row>
    <row r="15" spans="2:18" ht="24" customHeight="1" x14ac:dyDescent="0.55000000000000004">
      <c r="B15" s="62" t="s">
        <v>33</v>
      </c>
      <c r="C15" s="24"/>
      <c r="D15" s="24"/>
      <c r="E15" s="24"/>
      <c r="F15" s="24"/>
      <c r="G15" s="24"/>
      <c r="H15" s="24"/>
      <c r="I15" s="24"/>
      <c r="J15" s="24"/>
      <c r="K15" s="24"/>
      <c r="L15" s="24"/>
      <c r="M15" s="24"/>
      <c r="N15" s="37"/>
      <c r="O15" s="128"/>
      <c r="P15" s="129"/>
      <c r="Q15" s="129"/>
      <c r="R15" s="129"/>
    </row>
    <row r="16" spans="2:18" ht="24" customHeight="1" x14ac:dyDescent="0.55000000000000004">
      <c r="B16" s="62" t="s">
        <v>34</v>
      </c>
      <c r="C16" s="24"/>
      <c r="D16" s="24"/>
      <c r="E16" s="24"/>
      <c r="F16" s="24"/>
      <c r="G16" s="24"/>
      <c r="H16" s="24"/>
      <c r="I16" s="24"/>
      <c r="J16" s="24"/>
      <c r="K16" s="24"/>
      <c r="L16" s="24"/>
      <c r="M16" s="24"/>
      <c r="N16" s="37"/>
      <c r="O16" s="128"/>
      <c r="P16" s="129"/>
      <c r="Q16" s="129"/>
      <c r="R16" s="129"/>
    </row>
    <row r="17" spans="2:18" ht="24" customHeight="1" x14ac:dyDescent="0.55000000000000004">
      <c r="B17" s="62" t="s">
        <v>35</v>
      </c>
      <c r="C17" s="24"/>
      <c r="D17" s="24"/>
      <c r="E17" s="24"/>
      <c r="F17" s="24"/>
      <c r="G17" s="24"/>
      <c r="H17" s="24"/>
      <c r="I17" s="24"/>
      <c r="J17" s="24"/>
      <c r="K17" s="24"/>
      <c r="L17" s="24"/>
      <c r="M17" s="24"/>
      <c r="N17" s="37"/>
      <c r="O17" s="128"/>
      <c r="P17" s="129"/>
      <c r="Q17" s="129"/>
      <c r="R17" s="129"/>
    </row>
    <row r="18" spans="2:18" ht="24" customHeight="1" x14ac:dyDescent="0.55000000000000004">
      <c r="B18" s="62" t="s">
        <v>36</v>
      </c>
      <c r="C18" s="24"/>
      <c r="D18" s="24"/>
      <c r="E18" s="24"/>
      <c r="F18" s="24"/>
      <c r="G18" s="24"/>
      <c r="H18" s="24"/>
      <c r="I18" s="24"/>
      <c r="J18" s="24"/>
      <c r="K18" s="24"/>
      <c r="L18" s="24"/>
      <c r="M18" s="24"/>
      <c r="N18" s="37"/>
      <c r="O18" s="128"/>
      <c r="P18" s="129"/>
      <c r="Q18" s="129"/>
      <c r="R18" s="129"/>
    </row>
    <row r="19" spans="2:18" ht="24" customHeight="1" x14ac:dyDescent="0.55000000000000004">
      <c r="B19" s="62" t="s">
        <v>37</v>
      </c>
      <c r="C19" s="24"/>
      <c r="D19" s="24"/>
      <c r="E19" s="24"/>
      <c r="F19" s="24"/>
      <c r="G19" s="24"/>
      <c r="H19" s="24"/>
      <c r="I19" s="24"/>
      <c r="J19" s="24"/>
      <c r="K19" s="24"/>
      <c r="L19" s="24"/>
      <c r="M19" s="24"/>
      <c r="N19" s="37"/>
      <c r="O19" s="128"/>
      <c r="P19" s="129"/>
      <c r="Q19" s="129"/>
      <c r="R19" s="129"/>
    </row>
    <row r="20" spans="2:18" ht="24" customHeight="1" x14ac:dyDescent="0.55000000000000004">
      <c r="B20" s="62" t="s">
        <v>38</v>
      </c>
      <c r="C20" s="24"/>
      <c r="D20" s="24"/>
      <c r="E20" s="24"/>
      <c r="F20" s="24"/>
      <c r="G20" s="24"/>
      <c r="H20" s="24"/>
      <c r="I20" s="24"/>
      <c r="J20" s="24"/>
      <c r="K20" s="24"/>
      <c r="L20" s="24"/>
      <c r="M20" s="24"/>
      <c r="N20" s="37"/>
      <c r="O20" s="128"/>
      <c r="P20" s="129"/>
      <c r="Q20" s="129"/>
      <c r="R20" s="129"/>
    </row>
    <row r="21" spans="2:18" ht="24" customHeight="1" x14ac:dyDescent="0.55000000000000004">
      <c r="B21" s="62" t="s">
        <v>39</v>
      </c>
      <c r="C21" s="24"/>
      <c r="D21" s="24"/>
      <c r="E21" s="24"/>
      <c r="F21" s="24"/>
      <c r="G21" s="24"/>
      <c r="H21" s="24"/>
      <c r="I21" s="24"/>
      <c r="J21" s="24"/>
      <c r="K21" s="24"/>
      <c r="L21" s="24"/>
      <c r="M21" s="24"/>
      <c r="N21" s="37"/>
      <c r="O21" s="128"/>
      <c r="P21" s="129"/>
      <c r="Q21" s="129"/>
      <c r="R21" s="129"/>
    </row>
    <row r="22" spans="2:18" ht="24" customHeight="1" x14ac:dyDescent="0.55000000000000004">
      <c r="B22" s="62" t="s">
        <v>40</v>
      </c>
      <c r="C22" s="24"/>
      <c r="D22" s="24"/>
      <c r="E22" s="24"/>
      <c r="F22" s="24"/>
      <c r="G22" s="24"/>
      <c r="H22" s="24"/>
      <c r="I22" s="24"/>
      <c r="J22" s="24"/>
      <c r="K22" s="24"/>
      <c r="L22" s="24"/>
      <c r="M22" s="24"/>
      <c r="N22" s="37"/>
      <c r="O22" s="130"/>
      <c r="P22" s="131"/>
      <c r="Q22" s="131"/>
      <c r="R22" s="131"/>
    </row>
    <row r="24" spans="2:18" ht="24" customHeight="1" x14ac:dyDescent="0.55000000000000004">
      <c r="B24" s="49" t="s">
        <v>41</v>
      </c>
      <c r="C24" s="34"/>
      <c r="D24" s="34"/>
      <c r="E24" s="34"/>
      <c r="F24" s="34"/>
      <c r="G24" s="34"/>
      <c r="H24" s="34"/>
      <c r="I24" s="34"/>
      <c r="J24" s="34"/>
      <c r="K24" s="34"/>
      <c r="L24" s="34"/>
      <c r="M24" s="34"/>
      <c r="N24" s="34"/>
      <c r="O24" s="34"/>
      <c r="P24" s="34"/>
      <c r="Q24" s="34"/>
      <c r="R24" s="34"/>
    </row>
    <row r="25" spans="2:18" ht="24" customHeight="1" x14ac:dyDescent="0.55000000000000004">
      <c r="B25" s="23" t="s">
        <v>42</v>
      </c>
      <c r="C25" s="24"/>
      <c r="D25" s="24"/>
      <c r="E25" s="24"/>
      <c r="F25" s="24"/>
      <c r="G25" s="24"/>
      <c r="H25" s="24"/>
      <c r="I25" s="24"/>
      <c r="J25" s="24"/>
      <c r="K25" s="24"/>
      <c r="L25" s="24"/>
      <c r="M25" s="24"/>
      <c r="N25" s="24"/>
      <c r="O25" s="24"/>
      <c r="P25" s="24"/>
      <c r="Q25" s="24"/>
      <c r="R25" s="24"/>
    </row>
    <row r="26" spans="2:18" ht="24" customHeight="1" x14ac:dyDescent="0.55000000000000004">
      <c r="B26" s="79" t="s">
        <v>43</v>
      </c>
      <c r="C26" s="26"/>
      <c r="D26" s="28"/>
      <c r="E26" s="80" t="s">
        <v>44</v>
      </c>
      <c r="F26" s="26"/>
      <c r="G26" s="26"/>
      <c r="H26" s="28"/>
      <c r="I26" s="80" t="s">
        <v>45</v>
      </c>
      <c r="J26" s="26"/>
      <c r="K26" s="28"/>
      <c r="L26" s="80" t="s">
        <v>46</v>
      </c>
      <c r="M26" s="26"/>
      <c r="N26" s="28"/>
      <c r="O26" s="29" t="s">
        <v>47</v>
      </c>
      <c r="P26" s="26"/>
      <c r="Q26" s="26"/>
      <c r="R26" s="26"/>
    </row>
    <row r="27" spans="2:18" ht="24" customHeight="1" x14ac:dyDescent="0.55000000000000004">
      <c r="B27" s="30"/>
      <c r="C27" s="24"/>
      <c r="D27" s="31"/>
      <c r="E27" s="32">
        <f>O58</f>
        <v>0</v>
      </c>
      <c r="F27" s="24"/>
      <c r="G27" s="24"/>
      <c r="H27" s="31"/>
      <c r="I27" s="32"/>
      <c r="J27" s="24"/>
      <c r="K27" s="31"/>
      <c r="L27" s="32">
        <f>O84</f>
        <v>0</v>
      </c>
      <c r="M27" s="24"/>
      <c r="N27" s="31"/>
      <c r="O27" s="81" t="e">
        <f>L27/E27</f>
        <v>#DIV/0!</v>
      </c>
      <c r="P27" s="24"/>
      <c r="Q27" s="24"/>
      <c r="R27" s="24"/>
    </row>
    <row r="28" spans="2:18" ht="19.95" customHeight="1" x14ac:dyDescent="0.55000000000000004">
      <c r="B28" s="6"/>
      <c r="C28" s="6"/>
      <c r="D28" s="6"/>
      <c r="E28" s="6"/>
      <c r="F28" s="6"/>
      <c r="G28" s="6"/>
      <c r="H28" s="6"/>
      <c r="I28" s="6"/>
      <c r="J28" s="7"/>
      <c r="K28" s="7"/>
      <c r="L28" s="7"/>
      <c r="M28" s="7"/>
      <c r="N28" s="7"/>
      <c r="O28" s="7"/>
      <c r="P28" s="7"/>
      <c r="Q28" s="7"/>
      <c r="R28" s="7"/>
    </row>
    <row r="29" spans="2:18" ht="19.95" customHeight="1" x14ac:dyDescent="0.55000000000000004">
      <c r="B29" s="23" t="s">
        <v>48</v>
      </c>
      <c r="C29" s="24"/>
      <c r="D29" s="24"/>
      <c r="E29" s="24"/>
      <c r="F29" s="24"/>
      <c r="G29" s="24"/>
      <c r="H29" s="24"/>
      <c r="I29" s="24"/>
      <c r="J29" s="24"/>
      <c r="K29" s="24"/>
      <c r="L29" s="24"/>
      <c r="M29" s="24"/>
      <c r="N29" s="24"/>
      <c r="O29" s="24"/>
      <c r="P29" s="24"/>
      <c r="Q29" s="24"/>
      <c r="R29" s="24"/>
    </row>
    <row r="30" spans="2:18" ht="19.95" customHeight="1" x14ac:dyDescent="0.55000000000000004">
      <c r="B30" s="82" t="s">
        <v>49</v>
      </c>
      <c r="C30" s="24"/>
      <c r="D30" s="24"/>
      <c r="E30" s="24"/>
      <c r="F30" s="24"/>
      <c r="G30" s="24"/>
      <c r="H30" s="24"/>
      <c r="I30" s="24"/>
      <c r="J30" s="24"/>
      <c r="K30" s="24"/>
      <c r="L30" s="24"/>
      <c r="M30" s="24"/>
      <c r="N30" s="37"/>
      <c r="O30" s="83"/>
      <c r="P30" s="26"/>
      <c r="Q30" s="26"/>
      <c r="R30" s="26"/>
    </row>
    <row r="31" spans="2:18" ht="19.95" customHeight="1" x14ac:dyDescent="0.55000000000000004">
      <c r="B31" s="82" t="s">
        <v>50</v>
      </c>
      <c r="C31" s="24"/>
      <c r="D31" s="24"/>
      <c r="E31" s="24"/>
      <c r="F31" s="24"/>
      <c r="G31" s="24"/>
      <c r="H31" s="24"/>
      <c r="I31" s="24"/>
      <c r="J31" s="24"/>
      <c r="K31" s="24"/>
      <c r="L31" s="24"/>
      <c r="M31" s="24"/>
      <c r="N31" s="37"/>
      <c r="O31" s="84" t="s">
        <v>51</v>
      </c>
      <c r="P31" s="24"/>
      <c r="Q31" s="24"/>
      <c r="R31" s="24"/>
    </row>
    <row r="32" spans="2:18" ht="19.95" customHeight="1" x14ac:dyDescent="0.55000000000000004">
      <c r="B32" s="85" t="s">
        <v>52</v>
      </c>
      <c r="C32" s="24"/>
      <c r="D32" s="24"/>
      <c r="E32" s="24"/>
      <c r="F32" s="24"/>
      <c r="G32" s="24"/>
      <c r="H32" s="24"/>
      <c r="I32" s="24"/>
      <c r="J32" s="24"/>
      <c r="K32" s="24"/>
      <c r="L32" s="24"/>
      <c r="M32" s="24"/>
      <c r="N32" s="37"/>
      <c r="O32" s="63"/>
      <c r="P32" s="24"/>
      <c r="Q32" s="24"/>
      <c r="R32" s="24"/>
    </row>
    <row r="33" spans="2:18" ht="19.95" customHeight="1" x14ac:dyDescent="0.55000000000000004">
      <c r="B33" s="86" t="s">
        <v>53</v>
      </c>
      <c r="C33" s="26"/>
      <c r="D33" s="26"/>
      <c r="E33" s="26"/>
      <c r="F33" s="26"/>
      <c r="G33" s="26"/>
      <c r="H33" s="26"/>
      <c r="I33" s="26"/>
      <c r="J33" s="26"/>
      <c r="K33" s="26"/>
      <c r="L33" s="26"/>
      <c r="M33" s="26"/>
      <c r="N33" s="28"/>
      <c r="O33" s="83"/>
      <c r="P33" s="26"/>
      <c r="Q33" s="26"/>
      <c r="R33" s="26"/>
    </row>
    <row r="34" spans="2:18" ht="19.95" customHeight="1" x14ac:dyDescent="0.55000000000000004">
      <c r="B34" s="85" t="s">
        <v>54</v>
      </c>
      <c r="C34" s="24"/>
      <c r="D34" s="24"/>
      <c r="E34" s="24"/>
      <c r="F34" s="24"/>
      <c r="G34" s="24"/>
      <c r="H34" s="24"/>
      <c r="I34" s="24"/>
      <c r="J34" s="24"/>
      <c r="K34" s="24"/>
      <c r="L34" s="24"/>
      <c r="M34" s="24"/>
      <c r="N34" s="37"/>
      <c r="O34" s="63"/>
      <c r="P34" s="24"/>
      <c r="Q34" s="24"/>
      <c r="R34" s="24"/>
    </row>
    <row r="35" spans="2:18" ht="19.95" customHeight="1" x14ac:dyDescent="0.55000000000000004">
      <c r="B35" s="85" t="s">
        <v>55</v>
      </c>
      <c r="C35" s="24"/>
      <c r="D35" s="24"/>
      <c r="E35" s="24"/>
      <c r="F35" s="24"/>
      <c r="G35" s="24"/>
      <c r="H35" s="24"/>
      <c r="I35" s="24"/>
      <c r="J35" s="24"/>
      <c r="K35" s="24"/>
      <c r="L35" s="24"/>
      <c r="M35" s="24"/>
      <c r="N35" s="37"/>
      <c r="O35" s="63"/>
      <c r="P35" s="24"/>
      <c r="Q35" s="24"/>
      <c r="R35" s="24"/>
    </row>
    <row r="36" spans="2:18" ht="19.95" customHeight="1" x14ac:dyDescent="0.55000000000000004">
      <c r="B36" s="85" t="s">
        <v>56</v>
      </c>
      <c r="C36" s="24"/>
      <c r="D36" s="24"/>
      <c r="E36" s="24"/>
      <c r="F36" s="24"/>
      <c r="G36" s="24"/>
      <c r="H36" s="24"/>
      <c r="I36" s="24"/>
      <c r="J36" s="24"/>
      <c r="K36" s="24"/>
      <c r="L36" s="24"/>
      <c r="M36" s="24"/>
      <c r="N36" s="37"/>
      <c r="O36" s="63"/>
      <c r="P36" s="24"/>
      <c r="Q36" s="24"/>
      <c r="R36" s="24"/>
    </row>
    <row r="37" spans="2:18" ht="19.95" customHeight="1" x14ac:dyDescent="0.55000000000000004">
      <c r="B37" s="85" t="s">
        <v>57</v>
      </c>
      <c r="C37" s="24"/>
      <c r="D37" s="24"/>
      <c r="E37" s="24"/>
      <c r="F37" s="24"/>
      <c r="G37" s="24"/>
      <c r="H37" s="24"/>
      <c r="I37" s="24"/>
      <c r="J37" s="24"/>
      <c r="K37" s="24"/>
      <c r="L37" s="24"/>
      <c r="M37" s="24"/>
      <c r="N37" s="37"/>
      <c r="O37" s="63"/>
      <c r="P37" s="24"/>
      <c r="Q37" s="24"/>
      <c r="R37" s="24"/>
    </row>
    <row r="38" spans="2:18" ht="19.95" customHeight="1" x14ac:dyDescent="0.55000000000000004">
      <c r="B38" s="85" t="s">
        <v>58</v>
      </c>
      <c r="C38" s="24"/>
      <c r="D38" s="24"/>
      <c r="E38" s="24"/>
      <c r="F38" s="24"/>
      <c r="G38" s="24"/>
      <c r="H38" s="24"/>
      <c r="I38" s="24"/>
      <c r="J38" s="24"/>
      <c r="K38" s="24"/>
      <c r="L38" s="24"/>
      <c r="M38" s="24"/>
      <c r="N38" s="37"/>
      <c r="O38" s="63"/>
      <c r="P38" s="24"/>
      <c r="Q38" s="24"/>
      <c r="R38" s="24"/>
    </row>
    <row r="39" spans="2:18" ht="19.95" customHeight="1" x14ac:dyDescent="0.55000000000000004">
      <c r="B39" s="85" t="s">
        <v>59</v>
      </c>
      <c r="C39" s="24"/>
      <c r="D39" s="24"/>
      <c r="E39" s="24"/>
      <c r="F39" s="24"/>
      <c r="G39" s="24"/>
      <c r="H39" s="24"/>
      <c r="I39" s="24"/>
      <c r="J39" s="24"/>
      <c r="K39" s="24"/>
      <c r="L39" s="24"/>
      <c r="M39" s="24"/>
      <c r="N39" s="37"/>
      <c r="O39" s="63"/>
      <c r="P39" s="24"/>
      <c r="Q39" s="24"/>
      <c r="R39" s="24"/>
    </row>
    <row r="40" spans="2:18" ht="19.95" customHeight="1" x14ac:dyDescent="0.55000000000000004">
      <c r="B40" s="85" t="s">
        <v>60</v>
      </c>
      <c r="C40" s="24"/>
      <c r="D40" s="24"/>
      <c r="E40" s="24"/>
      <c r="F40" s="24"/>
      <c r="G40" s="24"/>
      <c r="H40" s="24"/>
      <c r="I40" s="24"/>
      <c r="J40" s="24"/>
      <c r="K40" s="24"/>
      <c r="L40" s="24"/>
      <c r="M40" s="24"/>
      <c r="N40" s="37"/>
      <c r="O40" s="63"/>
      <c r="P40" s="24"/>
      <c r="Q40" s="24"/>
      <c r="R40" s="24"/>
    </row>
    <row r="41" spans="2:18" ht="19.95" customHeight="1" x14ac:dyDescent="0.55000000000000004">
      <c r="B41" s="85" t="s">
        <v>61</v>
      </c>
      <c r="C41" s="24"/>
      <c r="D41" s="24"/>
      <c r="E41" s="24"/>
      <c r="F41" s="24"/>
      <c r="G41" s="24"/>
      <c r="H41" s="24"/>
      <c r="I41" s="24"/>
      <c r="J41" s="24"/>
      <c r="K41" s="24"/>
      <c r="L41" s="24"/>
      <c r="M41" s="24"/>
      <c r="N41" s="37"/>
      <c r="O41" s="63"/>
      <c r="P41" s="24"/>
      <c r="Q41" s="24"/>
      <c r="R41" s="24"/>
    </row>
    <row r="42" spans="2:18" ht="19.95" customHeight="1" x14ac:dyDescent="0.55000000000000004">
      <c r="B42" s="85" t="s">
        <v>62</v>
      </c>
      <c r="C42" s="24"/>
      <c r="D42" s="24"/>
      <c r="E42" s="24"/>
      <c r="F42" s="24"/>
      <c r="G42" s="24"/>
      <c r="H42" s="24"/>
      <c r="I42" s="24"/>
      <c r="J42" s="24"/>
      <c r="K42" s="24"/>
      <c r="L42" s="24"/>
      <c r="M42" s="24"/>
      <c r="N42" s="37"/>
      <c r="O42" s="63"/>
      <c r="P42" s="24"/>
      <c r="Q42" s="24"/>
      <c r="R42" s="24"/>
    </row>
    <row r="43" spans="2:18" ht="19.95" customHeight="1" x14ac:dyDescent="0.55000000000000004">
      <c r="B43" s="85" t="s">
        <v>63</v>
      </c>
      <c r="C43" s="24"/>
      <c r="D43" s="24"/>
      <c r="E43" s="24"/>
      <c r="F43" s="24"/>
      <c r="G43" s="24"/>
      <c r="H43" s="24"/>
      <c r="I43" s="24"/>
      <c r="J43" s="24"/>
      <c r="K43" s="24"/>
      <c r="L43" s="24"/>
      <c r="M43" s="24"/>
      <c r="N43" s="37"/>
      <c r="O43" s="63"/>
      <c r="P43" s="24"/>
      <c r="Q43" s="24"/>
      <c r="R43" s="24"/>
    </row>
    <row r="44" spans="2:18" ht="19.95" customHeight="1" x14ac:dyDescent="0.55000000000000004">
      <c r="B44" s="85" t="s">
        <v>64</v>
      </c>
      <c r="C44" s="24"/>
      <c r="D44" s="24"/>
      <c r="E44" s="24"/>
      <c r="F44" s="24"/>
      <c r="G44" s="24"/>
      <c r="H44" s="24"/>
      <c r="I44" s="24"/>
      <c r="J44" s="24"/>
      <c r="K44" s="24"/>
      <c r="L44" s="24"/>
      <c r="M44" s="24"/>
      <c r="N44" s="37"/>
      <c r="O44" s="63"/>
      <c r="P44" s="24"/>
      <c r="Q44" s="24"/>
      <c r="R44" s="24"/>
    </row>
    <row r="45" spans="2:18" ht="19.95" customHeight="1" x14ac:dyDescent="0.55000000000000004">
      <c r="B45" s="85" t="s">
        <v>65</v>
      </c>
      <c r="C45" s="24"/>
      <c r="D45" s="24"/>
      <c r="E45" s="24"/>
      <c r="F45" s="24"/>
      <c r="G45" s="24"/>
      <c r="H45" s="24"/>
      <c r="I45" s="24"/>
      <c r="J45" s="24"/>
      <c r="K45" s="24"/>
      <c r="L45" s="24"/>
      <c r="M45" s="24"/>
      <c r="N45" s="37"/>
      <c r="O45" s="63"/>
      <c r="P45" s="24"/>
      <c r="Q45" s="24"/>
      <c r="R45" s="24"/>
    </row>
    <row r="46" spans="2:18" ht="19.95" customHeight="1" x14ac:dyDescent="0.55000000000000004">
      <c r="B46" s="85" t="s">
        <v>66</v>
      </c>
      <c r="C46" s="24"/>
      <c r="D46" s="24"/>
      <c r="E46" s="24"/>
      <c r="F46" s="24"/>
      <c r="G46" s="24"/>
      <c r="H46" s="24"/>
      <c r="I46" s="24"/>
      <c r="J46" s="24"/>
      <c r="K46" s="24"/>
      <c r="L46" s="24"/>
      <c r="M46" s="24"/>
      <c r="N46" s="37"/>
      <c r="O46" s="63"/>
      <c r="P46" s="24"/>
      <c r="Q46" s="24"/>
      <c r="R46" s="24"/>
    </row>
    <row r="47" spans="2:18" ht="19.95" customHeight="1" x14ac:dyDescent="0.55000000000000004">
      <c r="B47" s="85" t="s">
        <v>67</v>
      </c>
      <c r="C47" s="24"/>
      <c r="D47" s="24"/>
      <c r="E47" s="24"/>
      <c r="F47" s="24"/>
      <c r="G47" s="24"/>
      <c r="H47" s="24"/>
      <c r="I47" s="24"/>
      <c r="J47" s="24"/>
      <c r="K47" s="24"/>
      <c r="L47" s="24"/>
      <c r="M47" s="24"/>
      <c r="N47" s="37"/>
      <c r="O47" s="63"/>
      <c r="P47" s="24"/>
      <c r="Q47" s="24"/>
      <c r="R47" s="24"/>
    </row>
    <row r="48" spans="2:18" ht="19.95" customHeight="1" x14ac:dyDescent="0.55000000000000004">
      <c r="B48" s="85" t="s">
        <v>68</v>
      </c>
      <c r="C48" s="24"/>
      <c r="D48" s="24"/>
      <c r="E48" s="24"/>
      <c r="F48" s="24"/>
      <c r="G48" s="24"/>
      <c r="H48" s="24"/>
      <c r="I48" s="24"/>
      <c r="J48" s="24"/>
      <c r="K48" s="24"/>
      <c r="L48" s="24"/>
      <c r="M48" s="24"/>
      <c r="N48" s="37"/>
      <c r="O48" s="63"/>
      <c r="P48" s="24"/>
      <c r="Q48" s="24"/>
      <c r="R48" s="24"/>
    </row>
    <row r="49" spans="2:18" ht="19.95" customHeight="1" x14ac:dyDescent="0.55000000000000004">
      <c r="B49" s="85" t="s">
        <v>69</v>
      </c>
      <c r="C49" s="24"/>
      <c r="D49" s="24"/>
      <c r="E49" s="24"/>
      <c r="F49" s="24"/>
      <c r="G49" s="24"/>
      <c r="H49" s="24"/>
      <c r="I49" s="24"/>
      <c r="J49" s="24"/>
      <c r="K49" s="24"/>
      <c r="L49" s="24"/>
      <c r="M49" s="24"/>
      <c r="N49" s="37"/>
      <c r="O49" s="63"/>
      <c r="P49" s="24"/>
      <c r="Q49" s="24"/>
      <c r="R49" s="24"/>
    </row>
    <row r="50" spans="2:18" ht="19.95" customHeight="1" x14ac:dyDescent="0.55000000000000004">
      <c r="B50" s="85" t="s">
        <v>70</v>
      </c>
      <c r="C50" s="24"/>
      <c r="D50" s="24"/>
      <c r="E50" s="24"/>
      <c r="F50" s="24"/>
      <c r="G50" s="24"/>
      <c r="H50" s="24"/>
      <c r="I50" s="24"/>
      <c r="J50" s="24"/>
      <c r="K50" s="24"/>
      <c r="L50" s="24"/>
      <c r="M50" s="24"/>
      <c r="N50" s="37"/>
      <c r="O50" s="63"/>
      <c r="P50" s="24"/>
      <c r="Q50" s="24"/>
      <c r="R50" s="24"/>
    </row>
    <row r="51" spans="2:18" ht="19.95" customHeight="1" x14ac:dyDescent="0.55000000000000004">
      <c r="B51" s="85" t="s">
        <v>71</v>
      </c>
      <c r="C51" s="24"/>
      <c r="D51" s="24"/>
      <c r="E51" s="24"/>
      <c r="F51" s="24"/>
      <c r="G51" s="24"/>
      <c r="H51" s="24"/>
      <c r="I51" s="24"/>
      <c r="J51" s="24"/>
      <c r="K51" s="24"/>
      <c r="L51" s="24"/>
      <c r="M51" s="24"/>
      <c r="N51" s="37"/>
      <c r="O51" s="63"/>
      <c r="P51" s="24"/>
      <c r="Q51" s="24"/>
      <c r="R51" s="24"/>
    </row>
    <row r="52" spans="2:18" ht="19.95" customHeight="1" x14ac:dyDescent="0.55000000000000004">
      <c r="B52" s="85" t="s">
        <v>72</v>
      </c>
      <c r="C52" s="24"/>
      <c r="D52" s="24"/>
      <c r="E52" s="24"/>
      <c r="F52" s="24"/>
      <c r="G52" s="24"/>
      <c r="H52" s="24"/>
      <c r="I52" s="24"/>
      <c r="J52" s="24"/>
      <c r="K52" s="24"/>
      <c r="L52" s="24"/>
      <c r="M52" s="24"/>
      <c r="N52" s="37"/>
      <c r="O52" s="63"/>
      <c r="P52" s="24"/>
      <c r="Q52" s="24"/>
      <c r="R52" s="24"/>
    </row>
    <row r="53" spans="2:18" ht="19.95" customHeight="1" x14ac:dyDescent="0.55000000000000004">
      <c r="B53" s="85" t="s">
        <v>73</v>
      </c>
      <c r="C53" s="24"/>
      <c r="D53" s="24"/>
      <c r="E53" s="24"/>
      <c r="F53" s="24"/>
      <c r="G53" s="24"/>
      <c r="H53" s="24"/>
      <c r="I53" s="24"/>
      <c r="J53" s="24"/>
      <c r="K53" s="24"/>
      <c r="L53" s="24"/>
      <c r="M53" s="24"/>
      <c r="N53" s="37"/>
      <c r="O53" s="63"/>
      <c r="P53" s="24"/>
      <c r="Q53" s="24"/>
      <c r="R53" s="24"/>
    </row>
    <row r="54" spans="2:18" ht="19.95" customHeight="1" x14ac:dyDescent="0.55000000000000004">
      <c r="B54" s="85" t="s">
        <v>74</v>
      </c>
      <c r="C54" s="24"/>
      <c r="D54" s="24"/>
      <c r="E54" s="24"/>
      <c r="F54" s="24"/>
      <c r="G54" s="24"/>
      <c r="H54" s="24"/>
      <c r="I54" s="24"/>
      <c r="J54" s="24"/>
      <c r="K54" s="24"/>
      <c r="L54" s="24"/>
      <c r="M54" s="24"/>
      <c r="N54" s="37"/>
      <c r="O54" s="63"/>
      <c r="P54" s="24"/>
      <c r="Q54" s="24"/>
      <c r="R54" s="24"/>
    </row>
    <row r="55" spans="2:18" ht="19.95" customHeight="1" x14ac:dyDescent="0.55000000000000004">
      <c r="B55" s="85" t="s">
        <v>75</v>
      </c>
      <c r="C55" s="24"/>
      <c r="D55" s="24"/>
      <c r="E55" s="24"/>
      <c r="F55" s="24"/>
      <c r="G55" s="24"/>
      <c r="H55" s="24"/>
      <c r="I55" s="24"/>
      <c r="J55" s="24"/>
      <c r="K55" s="24"/>
      <c r="L55" s="24"/>
      <c r="M55" s="24"/>
      <c r="N55" s="37"/>
      <c r="O55" s="63"/>
      <c r="P55" s="24"/>
      <c r="Q55" s="24"/>
      <c r="R55" s="24"/>
    </row>
    <row r="56" spans="2:18" ht="19.95" customHeight="1" x14ac:dyDescent="0.55000000000000004">
      <c r="B56" s="85" t="s">
        <v>76</v>
      </c>
      <c r="C56" s="24"/>
      <c r="D56" s="24"/>
      <c r="E56" s="24"/>
      <c r="F56" s="24"/>
      <c r="G56" s="24"/>
      <c r="H56" s="24"/>
      <c r="I56" s="24"/>
      <c r="J56" s="24"/>
      <c r="K56" s="24"/>
      <c r="L56" s="24"/>
      <c r="M56" s="24"/>
      <c r="N56" s="37"/>
      <c r="O56" s="63"/>
      <c r="P56" s="24"/>
      <c r="Q56" s="24"/>
      <c r="R56" s="24"/>
    </row>
    <row r="57" spans="2:18" ht="19.95" customHeight="1" x14ac:dyDescent="0.55000000000000004">
      <c r="B57" s="85" t="s">
        <v>77</v>
      </c>
      <c r="C57" s="24"/>
      <c r="D57" s="24"/>
      <c r="E57" s="24"/>
      <c r="F57" s="24"/>
      <c r="G57" s="24"/>
      <c r="H57" s="24"/>
      <c r="I57" s="24"/>
      <c r="J57" s="24"/>
      <c r="K57" s="24"/>
      <c r="L57" s="24"/>
      <c r="M57" s="24"/>
      <c r="N57" s="37"/>
      <c r="O57" s="63"/>
      <c r="P57" s="24"/>
      <c r="Q57" s="24"/>
      <c r="R57" s="24"/>
    </row>
    <row r="58" spans="2:18" ht="19.95" customHeight="1" x14ac:dyDescent="0.55000000000000004">
      <c r="B58" s="82" t="s">
        <v>78</v>
      </c>
      <c r="C58" s="24"/>
      <c r="D58" s="24"/>
      <c r="E58" s="24"/>
      <c r="F58" s="24"/>
      <c r="G58" s="24"/>
      <c r="H58" s="24"/>
      <c r="I58" s="24"/>
      <c r="J58" s="24"/>
      <c r="K58" s="24"/>
      <c r="L58" s="24"/>
      <c r="M58" s="24"/>
      <c r="N58" s="37"/>
      <c r="O58" s="63">
        <f>SUM(,O32:R57,O30)</f>
        <v>0</v>
      </c>
      <c r="P58" s="24"/>
      <c r="Q58" s="24"/>
      <c r="R58" s="24"/>
    </row>
    <row r="59" spans="2:18" ht="13.85" customHeight="1" x14ac:dyDescent="0.55000000000000004">
      <c r="B59" s="6"/>
      <c r="C59" s="2"/>
      <c r="D59" s="2"/>
      <c r="E59" s="2"/>
      <c r="F59" s="2"/>
      <c r="G59" s="2"/>
      <c r="H59" s="2"/>
      <c r="I59" s="2"/>
      <c r="J59" s="7"/>
      <c r="K59" s="7"/>
      <c r="L59" s="7"/>
      <c r="M59" s="7"/>
      <c r="N59" s="7"/>
      <c r="O59" s="7"/>
      <c r="P59" s="7"/>
      <c r="Q59" s="7"/>
      <c r="R59" s="7"/>
    </row>
    <row r="60" spans="2:18" ht="22.95" customHeight="1" x14ac:dyDescent="0.55000000000000004">
      <c r="B60" s="49" t="s">
        <v>79</v>
      </c>
      <c r="C60" s="34"/>
      <c r="D60" s="34"/>
      <c r="E60" s="34"/>
      <c r="F60" s="34"/>
      <c r="G60" s="34"/>
      <c r="H60" s="34"/>
      <c r="I60" s="34"/>
      <c r="J60" s="34"/>
      <c r="K60" s="34"/>
      <c r="L60" s="34"/>
      <c r="M60" s="34"/>
      <c r="N60" s="34"/>
      <c r="O60" s="34"/>
      <c r="P60" s="34"/>
      <c r="Q60" s="34"/>
      <c r="R60" s="34"/>
    </row>
    <row r="61" spans="2:18" ht="22.95" customHeight="1" x14ac:dyDescent="0.55000000000000004">
      <c r="B61" s="49" t="s">
        <v>80</v>
      </c>
      <c r="C61" s="34"/>
      <c r="D61" s="34"/>
      <c r="E61" s="34"/>
      <c r="F61" s="34"/>
      <c r="G61" s="34"/>
      <c r="H61" s="34"/>
      <c r="I61" s="34"/>
      <c r="J61" s="34"/>
      <c r="K61" s="34"/>
      <c r="L61" s="34"/>
      <c r="M61" s="34"/>
      <c r="N61" s="34"/>
      <c r="O61" s="34"/>
      <c r="P61" s="34"/>
      <c r="Q61" s="34"/>
      <c r="R61" s="34"/>
    </row>
    <row r="62" spans="2:18" ht="22.95" customHeight="1" x14ac:dyDescent="0.55000000000000004">
      <c r="B62" s="87" t="s">
        <v>81</v>
      </c>
      <c r="C62" s="34"/>
      <c r="D62" s="34"/>
      <c r="E62" s="34"/>
      <c r="F62" s="34"/>
      <c r="G62" s="34"/>
      <c r="H62" s="34"/>
      <c r="I62" s="34"/>
      <c r="J62" s="34"/>
      <c r="K62" s="34"/>
      <c r="L62" s="34"/>
      <c r="M62" s="34"/>
      <c r="N62" s="71"/>
      <c r="O62" s="63"/>
      <c r="P62" s="24"/>
      <c r="Q62" s="24"/>
      <c r="R62" s="24"/>
    </row>
    <row r="63" spans="2:18" ht="22.95" customHeight="1" x14ac:dyDescent="0.55000000000000004">
      <c r="B63" s="87" t="s">
        <v>50</v>
      </c>
      <c r="C63" s="34"/>
      <c r="D63" s="34"/>
      <c r="E63" s="34"/>
      <c r="F63" s="34"/>
      <c r="G63" s="34"/>
      <c r="H63" s="34"/>
      <c r="I63" s="34"/>
      <c r="J63" s="34"/>
      <c r="K63" s="34"/>
      <c r="L63" s="34"/>
      <c r="M63" s="34"/>
      <c r="N63" s="71"/>
      <c r="O63" s="84" t="s">
        <v>51</v>
      </c>
      <c r="P63" s="24"/>
      <c r="Q63" s="24"/>
      <c r="R63" s="24"/>
    </row>
    <row r="64" spans="2:18" ht="22.95" customHeight="1" x14ac:dyDescent="0.55000000000000004">
      <c r="B64" s="88" t="s">
        <v>82</v>
      </c>
      <c r="C64" s="34"/>
      <c r="D64" s="34"/>
      <c r="E64" s="34"/>
      <c r="F64" s="34"/>
      <c r="G64" s="34"/>
      <c r="H64" s="34"/>
      <c r="I64" s="34"/>
      <c r="J64" s="34"/>
      <c r="K64" s="34"/>
      <c r="L64" s="34"/>
      <c r="M64" s="34"/>
      <c r="N64" s="71"/>
      <c r="O64" s="63"/>
      <c r="P64" s="24"/>
      <c r="Q64" s="24"/>
      <c r="R64" s="24"/>
    </row>
    <row r="65" spans="2:18" ht="30" customHeight="1" x14ac:dyDescent="0.55000000000000004">
      <c r="B65" s="88" t="s">
        <v>83</v>
      </c>
      <c r="C65" s="34"/>
      <c r="D65" s="34"/>
      <c r="E65" s="34"/>
      <c r="F65" s="34"/>
      <c r="G65" s="34"/>
      <c r="H65" s="34"/>
      <c r="I65" s="34"/>
      <c r="J65" s="34"/>
      <c r="K65" s="34"/>
      <c r="L65" s="34"/>
      <c r="M65" s="34"/>
      <c r="N65" s="71"/>
      <c r="O65" s="63"/>
      <c r="P65" s="24"/>
      <c r="Q65" s="24"/>
      <c r="R65" s="24"/>
    </row>
    <row r="66" spans="2:18" ht="30" customHeight="1" x14ac:dyDescent="0.55000000000000004">
      <c r="B66" s="88" t="s">
        <v>84</v>
      </c>
      <c r="C66" s="34"/>
      <c r="D66" s="34"/>
      <c r="E66" s="34"/>
      <c r="F66" s="34"/>
      <c r="G66" s="34"/>
      <c r="H66" s="34"/>
      <c r="I66" s="34"/>
      <c r="J66" s="34"/>
      <c r="K66" s="34"/>
      <c r="L66" s="34"/>
      <c r="M66" s="34"/>
      <c r="N66" s="71"/>
      <c r="O66" s="63"/>
      <c r="P66" s="24"/>
      <c r="Q66" s="24"/>
      <c r="R66" s="24"/>
    </row>
    <row r="67" spans="2:18" ht="22.95" customHeight="1" x14ac:dyDescent="0.55000000000000004">
      <c r="B67" s="88" t="s">
        <v>85</v>
      </c>
      <c r="C67" s="34"/>
      <c r="D67" s="34"/>
      <c r="E67" s="34"/>
      <c r="F67" s="34"/>
      <c r="G67" s="34"/>
      <c r="H67" s="34"/>
      <c r="I67" s="34"/>
      <c r="J67" s="34"/>
      <c r="K67" s="34"/>
      <c r="L67" s="34"/>
      <c r="M67" s="34"/>
      <c r="N67" s="71"/>
      <c r="O67" s="63"/>
      <c r="P67" s="24"/>
      <c r="Q67" s="24"/>
      <c r="R67" s="24"/>
    </row>
    <row r="68" spans="2:18" ht="22.95" customHeight="1" x14ac:dyDescent="0.55000000000000004">
      <c r="B68" s="88" t="s">
        <v>86</v>
      </c>
      <c r="C68" s="34"/>
      <c r="D68" s="34"/>
      <c r="E68" s="34"/>
      <c r="F68" s="34"/>
      <c r="G68" s="34"/>
      <c r="H68" s="34"/>
      <c r="I68" s="34"/>
      <c r="J68" s="34"/>
      <c r="K68" s="34"/>
      <c r="L68" s="34"/>
      <c r="M68" s="34"/>
      <c r="N68" s="71"/>
      <c r="O68" s="63"/>
      <c r="P68" s="24"/>
      <c r="Q68" s="24"/>
      <c r="R68" s="24"/>
    </row>
    <row r="69" spans="2:18" ht="22.95" customHeight="1" x14ac:dyDescent="0.55000000000000004">
      <c r="B69" s="88" t="s">
        <v>87</v>
      </c>
      <c r="C69" s="34"/>
      <c r="D69" s="34"/>
      <c r="E69" s="34"/>
      <c r="F69" s="34"/>
      <c r="G69" s="34"/>
      <c r="H69" s="34"/>
      <c r="I69" s="34"/>
      <c r="J69" s="34"/>
      <c r="K69" s="34"/>
      <c r="L69" s="34"/>
      <c r="M69" s="34"/>
      <c r="N69" s="71"/>
      <c r="O69" s="63"/>
      <c r="P69" s="24"/>
      <c r="Q69" s="24"/>
      <c r="R69" s="24"/>
    </row>
    <row r="70" spans="2:18" ht="30" customHeight="1" x14ac:dyDescent="0.55000000000000004">
      <c r="B70" s="88" t="s">
        <v>88</v>
      </c>
      <c r="C70" s="34"/>
      <c r="D70" s="34"/>
      <c r="E70" s="34"/>
      <c r="F70" s="34"/>
      <c r="G70" s="34"/>
      <c r="H70" s="34"/>
      <c r="I70" s="34"/>
      <c r="J70" s="34"/>
      <c r="K70" s="34"/>
      <c r="L70" s="34"/>
      <c r="M70" s="34"/>
      <c r="N70" s="71"/>
      <c r="O70" s="63"/>
      <c r="P70" s="24"/>
      <c r="Q70" s="24"/>
      <c r="R70" s="24"/>
    </row>
    <row r="71" spans="2:18" ht="30" customHeight="1" x14ac:dyDescent="0.55000000000000004">
      <c r="B71" s="88" t="s">
        <v>89</v>
      </c>
      <c r="C71" s="34"/>
      <c r="D71" s="34"/>
      <c r="E71" s="34"/>
      <c r="F71" s="34"/>
      <c r="G71" s="34"/>
      <c r="H71" s="34"/>
      <c r="I71" s="34"/>
      <c r="J71" s="34"/>
      <c r="K71" s="34"/>
      <c r="L71" s="34"/>
      <c r="M71" s="34"/>
      <c r="N71" s="71"/>
      <c r="O71" s="63"/>
      <c r="P71" s="24"/>
      <c r="Q71" s="24"/>
      <c r="R71" s="24"/>
    </row>
    <row r="72" spans="2:18" ht="22.95" customHeight="1" x14ac:dyDescent="0.55000000000000004">
      <c r="B72" s="88" t="s">
        <v>90</v>
      </c>
      <c r="C72" s="34"/>
      <c r="D72" s="34"/>
      <c r="E72" s="34"/>
      <c r="F72" s="34"/>
      <c r="G72" s="34"/>
      <c r="H72" s="34"/>
      <c r="I72" s="34"/>
      <c r="J72" s="34"/>
      <c r="K72" s="34"/>
      <c r="L72" s="34"/>
      <c r="M72" s="34"/>
      <c r="N72" s="71"/>
      <c r="O72" s="63"/>
      <c r="P72" s="24"/>
      <c r="Q72" s="24"/>
      <c r="R72" s="24"/>
    </row>
    <row r="73" spans="2:18" ht="22.95" customHeight="1" x14ac:dyDescent="0.55000000000000004">
      <c r="B73" s="88" t="s">
        <v>91</v>
      </c>
      <c r="C73" s="34"/>
      <c r="D73" s="34"/>
      <c r="E73" s="34"/>
      <c r="F73" s="34"/>
      <c r="G73" s="34"/>
      <c r="H73" s="34"/>
      <c r="I73" s="34"/>
      <c r="J73" s="34"/>
      <c r="K73" s="34"/>
      <c r="L73" s="34"/>
      <c r="M73" s="34"/>
      <c r="N73" s="71"/>
      <c r="O73" s="63"/>
      <c r="P73" s="24"/>
      <c r="Q73" s="24"/>
      <c r="R73" s="24"/>
    </row>
    <row r="74" spans="2:18" ht="22.95" customHeight="1" x14ac:dyDescent="0.55000000000000004">
      <c r="B74" s="88" t="s">
        <v>92</v>
      </c>
      <c r="C74" s="34"/>
      <c r="D74" s="34"/>
      <c r="E74" s="34"/>
      <c r="F74" s="34"/>
      <c r="G74" s="34"/>
      <c r="H74" s="34"/>
      <c r="I74" s="34"/>
      <c r="J74" s="34"/>
      <c r="K74" s="34"/>
      <c r="L74" s="34"/>
      <c r="M74" s="34"/>
      <c r="N74" s="71"/>
      <c r="O74" s="63"/>
      <c r="P74" s="24"/>
      <c r="Q74" s="24"/>
      <c r="R74" s="24"/>
    </row>
    <row r="75" spans="2:18" ht="22.95" customHeight="1" x14ac:dyDescent="0.55000000000000004">
      <c r="B75" s="88" t="s">
        <v>93</v>
      </c>
      <c r="C75" s="34"/>
      <c r="D75" s="34"/>
      <c r="E75" s="34"/>
      <c r="F75" s="34"/>
      <c r="G75" s="34"/>
      <c r="H75" s="34"/>
      <c r="I75" s="34"/>
      <c r="J75" s="34"/>
      <c r="K75" s="34"/>
      <c r="L75" s="34"/>
      <c r="M75" s="34"/>
      <c r="N75" s="71"/>
      <c r="O75" s="63"/>
      <c r="P75" s="24"/>
      <c r="Q75" s="24"/>
      <c r="R75" s="24"/>
    </row>
    <row r="76" spans="2:18" ht="22.95" customHeight="1" x14ac:dyDescent="0.55000000000000004">
      <c r="B76" s="88" t="s">
        <v>94</v>
      </c>
      <c r="C76" s="34"/>
      <c r="D76" s="34"/>
      <c r="E76" s="34"/>
      <c r="F76" s="34"/>
      <c r="G76" s="34"/>
      <c r="H76" s="34"/>
      <c r="I76" s="34"/>
      <c r="J76" s="34"/>
      <c r="K76" s="34"/>
      <c r="L76" s="34"/>
      <c r="M76" s="34"/>
      <c r="N76" s="71"/>
      <c r="O76" s="63"/>
      <c r="P76" s="24"/>
      <c r="Q76" s="24"/>
      <c r="R76" s="24"/>
    </row>
    <row r="77" spans="2:18" ht="22.95" customHeight="1" x14ac:dyDescent="0.55000000000000004">
      <c r="B77" s="88" t="s">
        <v>95</v>
      </c>
      <c r="C77" s="34"/>
      <c r="D77" s="34"/>
      <c r="E77" s="34"/>
      <c r="F77" s="34"/>
      <c r="G77" s="34"/>
      <c r="H77" s="34"/>
      <c r="I77" s="34"/>
      <c r="J77" s="34"/>
      <c r="K77" s="34"/>
      <c r="L77" s="34"/>
      <c r="M77" s="34"/>
      <c r="N77" s="71"/>
      <c r="O77" s="63"/>
      <c r="P77" s="24"/>
      <c r="Q77" s="24"/>
      <c r="R77" s="24"/>
    </row>
    <row r="78" spans="2:18" ht="22.95" customHeight="1" x14ac:dyDescent="0.55000000000000004">
      <c r="B78" s="88" t="s">
        <v>96</v>
      </c>
      <c r="C78" s="34"/>
      <c r="D78" s="34"/>
      <c r="E78" s="34"/>
      <c r="F78" s="34"/>
      <c r="G78" s="34"/>
      <c r="H78" s="34"/>
      <c r="I78" s="34"/>
      <c r="J78" s="34"/>
      <c r="K78" s="34"/>
      <c r="L78" s="34"/>
      <c r="M78" s="34"/>
      <c r="N78" s="71"/>
      <c r="O78" s="63"/>
      <c r="P78" s="24"/>
      <c r="Q78" s="24"/>
      <c r="R78" s="24"/>
    </row>
    <row r="79" spans="2:18" ht="22.95" customHeight="1" x14ac:dyDescent="0.55000000000000004">
      <c r="B79" s="88" t="s">
        <v>97</v>
      </c>
      <c r="C79" s="34"/>
      <c r="D79" s="34"/>
      <c r="E79" s="34"/>
      <c r="F79" s="34"/>
      <c r="G79" s="34"/>
      <c r="H79" s="34"/>
      <c r="I79" s="34"/>
      <c r="J79" s="34"/>
      <c r="K79" s="34"/>
      <c r="L79" s="34"/>
      <c r="M79" s="34"/>
      <c r="N79" s="71"/>
      <c r="O79" s="63"/>
      <c r="P79" s="24"/>
      <c r="Q79" s="24"/>
      <c r="R79" s="24"/>
    </row>
    <row r="80" spans="2:18" ht="22.95" customHeight="1" x14ac:dyDescent="0.55000000000000004">
      <c r="B80" s="88" t="s">
        <v>98</v>
      </c>
      <c r="C80" s="34"/>
      <c r="D80" s="34"/>
      <c r="E80" s="34"/>
      <c r="F80" s="34"/>
      <c r="G80" s="34"/>
      <c r="H80" s="34"/>
      <c r="I80" s="34"/>
      <c r="J80" s="34"/>
      <c r="K80" s="34"/>
      <c r="L80" s="34"/>
      <c r="M80" s="34"/>
      <c r="N80" s="71"/>
      <c r="O80" s="63">
        <f>O129</f>
        <v>0</v>
      </c>
      <c r="P80" s="24"/>
      <c r="Q80" s="24"/>
      <c r="R80" s="24"/>
    </row>
    <row r="81" spans="2:18" ht="30" customHeight="1" x14ac:dyDescent="0.55000000000000004">
      <c r="B81" s="88" t="s">
        <v>99</v>
      </c>
      <c r="C81" s="34"/>
      <c r="D81" s="34"/>
      <c r="E81" s="34"/>
      <c r="F81" s="34"/>
      <c r="G81" s="34"/>
      <c r="H81" s="34"/>
      <c r="I81" s="34"/>
      <c r="J81" s="34"/>
      <c r="K81" s="34"/>
      <c r="L81" s="34"/>
      <c r="M81" s="34"/>
      <c r="N81" s="71"/>
      <c r="O81" s="63"/>
      <c r="P81" s="24"/>
      <c r="Q81" s="24"/>
      <c r="R81" s="24"/>
    </row>
    <row r="82" spans="2:18" ht="22.95" customHeight="1" x14ac:dyDescent="0.55000000000000004">
      <c r="B82" s="88" t="s">
        <v>100</v>
      </c>
      <c r="C82" s="34"/>
      <c r="D82" s="34"/>
      <c r="E82" s="34"/>
      <c r="F82" s="34"/>
      <c r="G82" s="34"/>
      <c r="H82" s="34"/>
      <c r="I82" s="34"/>
      <c r="J82" s="34"/>
      <c r="K82" s="34"/>
      <c r="L82" s="34"/>
      <c r="M82" s="34"/>
      <c r="N82" s="71"/>
      <c r="O82" s="63"/>
      <c r="P82" s="24"/>
      <c r="Q82" s="24"/>
      <c r="R82" s="24"/>
    </row>
    <row r="83" spans="2:18" ht="22.95" customHeight="1" x14ac:dyDescent="0.55000000000000004">
      <c r="B83" s="88" t="s">
        <v>101</v>
      </c>
      <c r="C83" s="34"/>
      <c r="D83" s="34"/>
      <c r="E83" s="34"/>
      <c r="F83" s="34"/>
      <c r="G83" s="34"/>
      <c r="H83" s="34"/>
      <c r="I83" s="34"/>
      <c r="J83" s="34"/>
      <c r="K83" s="34"/>
      <c r="L83" s="34"/>
      <c r="M83" s="34"/>
      <c r="N83" s="71"/>
      <c r="O83" s="63"/>
      <c r="P83" s="24"/>
      <c r="Q83" s="24"/>
      <c r="R83" s="24"/>
    </row>
    <row r="84" spans="2:18" ht="22.95" customHeight="1" x14ac:dyDescent="0.55000000000000004">
      <c r="B84" s="82" t="s">
        <v>102</v>
      </c>
      <c r="C84" s="24"/>
      <c r="D84" s="24"/>
      <c r="E84" s="24"/>
      <c r="F84" s="24"/>
      <c r="G84" s="24"/>
      <c r="H84" s="24"/>
      <c r="I84" s="24"/>
      <c r="J84" s="24"/>
      <c r="K84" s="24"/>
      <c r="L84" s="24"/>
      <c r="M84" s="24"/>
      <c r="N84" s="37"/>
      <c r="O84" s="63">
        <f>SUM(O62,O64:R83)</f>
        <v>0</v>
      </c>
      <c r="P84" s="24"/>
      <c r="Q84" s="24"/>
      <c r="R84" s="24"/>
    </row>
    <row r="85" spans="2:18" x14ac:dyDescent="0.55000000000000004">
      <c r="B85" s="6"/>
      <c r="C85" s="2"/>
      <c r="D85" s="2"/>
      <c r="E85" s="2"/>
      <c r="F85" s="2"/>
      <c r="G85" s="2"/>
      <c r="H85" s="2"/>
      <c r="I85" s="2"/>
      <c r="J85" s="7"/>
      <c r="K85" s="7"/>
      <c r="L85" s="7"/>
      <c r="M85" s="7"/>
      <c r="N85" s="7"/>
      <c r="O85" s="7"/>
      <c r="P85" s="7"/>
      <c r="Q85" s="7"/>
      <c r="R85" s="7"/>
    </row>
    <row r="86" spans="2:18" ht="25.95" customHeight="1" x14ac:dyDescent="0.55000000000000004">
      <c r="B86" s="23" t="s">
        <v>103</v>
      </c>
      <c r="C86" s="24"/>
      <c r="D86" s="24"/>
      <c r="E86" s="24"/>
      <c r="F86" s="24"/>
      <c r="G86" s="24"/>
      <c r="H86" s="24"/>
      <c r="I86" s="24"/>
      <c r="J86" s="24"/>
      <c r="K86" s="24"/>
      <c r="L86" s="24"/>
      <c r="M86" s="24"/>
      <c r="N86" s="24"/>
      <c r="O86" s="24"/>
      <c r="P86" s="24"/>
      <c r="Q86" s="24"/>
      <c r="R86" s="24"/>
    </row>
    <row r="87" spans="2:18" ht="25.95" customHeight="1" x14ac:dyDescent="0.55000000000000004">
      <c r="B87" s="85" t="s">
        <v>104</v>
      </c>
      <c r="C87" s="24"/>
      <c r="D87" s="24"/>
      <c r="E87" s="24"/>
      <c r="F87" s="24"/>
      <c r="G87" s="24"/>
      <c r="H87" s="24"/>
      <c r="I87" s="24"/>
      <c r="J87" s="24"/>
      <c r="K87" s="24"/>
      <c r="L87" s="24"/>
      <c r="M87" s="24"/>
      <c r="N87" s="37"/>
      <c r="O87" s="63"/>
      <c r="P87" s="24"/>
      <c r="Q87" s="24"/>
      <c r="R87" s="24"/>
    </row>
    <row r="88" spans="2:18" ht="25.95" customHeight="1" x14ac:dyDescent="0.55000000000000004">
      <c r="B88" s="85" t="s">
        <v>105</v>
      </c>
      <c r="C88" s="24"/>
      <c r="D88" s="24"/>
      <c r="E88" s="24"/>
      <c r="F88" s="24"/>
      <c r="G88" s="24"/>
      <c r="H88" s="24"/>
      <c r="I88" s="24"/>
      <c r="J88" s="24"/>
      <c r="K88" s="24"/>
      <c r="L88" s="24"/>
      <c r="M88" s="24"/>
      <c r="N88" s="37"/>
      <c r="O88" s="63"/>
      <c r="P88" s="24"/>
      <c r="Q88" s="24"/>
      <c r="R88" s="24"/>
    </row>
    <row r="89" spans="2:18" ht="25.95" customHeight="1" x14ac:dyDescent="0.55000000000000004">
      <c r="B89" s="85" t="s">
        <v>106</v>
      </c>
      <c r="C89" s="24"/>
      <c r="D89" s="24"/>
      <c r="E89" s="24"/>
      <c r="F89" s="24"/>
      <c r="G89" s="24"/>
      <c r="H89" s="24"/>
      <c r="I89" s="24"/>
      <c r="J89" s="24"/>
      <c r="K89" s="24"/>
      <c r="L89" s="24"/>
      <c r="M89" s="24"/>
      <c r="N89" s="37"/>
      <c r="O89" s="63"/>
      <c r="P89" s="24"/>
      <c r="Q89" s="24"/>
      <c r="R89" s="24"/>
    </row>
    <row r="90" spans="2:18" ht="25.95" customHeight="1" x14ac:dyDescent="0.55000000000000004">
      <c r="B90" s="85" t="s">
        <v>107</v>
      </c>
      <c r="C90" s="24"/>
      <c r="D90" s="24"/>
      <c r="E90" s="24"/>
      <c r="F90" s="24"/>
      <c r="G90" s="24"/>
      <c r="H90" s="24"/>
      <c r="I90" s="24"/>
      <c r="J90" s="24"/>
      <c r="K90" s="24"/>
      <c r="L90" s="24"/>
      <c r="M90" s="24"/>
      <c r="N90" s="37"/>
      <c r="O90" s="63">
        <f>O87+O88-O89</f>
        <v>0</v>
      </c>
      <c r="P90" s="24"/>
      <c r="Q90" s="24"/>
      <c r="R90" s="24"/>
    </row>
    <row r="91" spans="2:18" ht="4.95" customHeight="1" x14ac:dyDescent="0.55000000000000004"/>
    <row r="92" spans="2:18" ht="25.95" customHeight="1" x14ac:dyDescent="0.55000000000000004">
      <c r="B92" s="23" t="s">
        <v>108</v>
      </c>
      <c r="C92" s="24"/>
      <c r="D92" s="24"/>
      <c r="E92" s="24"/>
      <c r="F92" s="24"/>
      <c r="G92" s="24"/>
      <c r="H92" s="24"/>
      <c r="I92" s="24"/>
      <c r="J92" s="24"/>
      <c r="K92" s="24"/>
      <c r="L92" s="24"/>
      <c r="M92" s="24"/>
      <c r="N92" s="24"/>
      <c r="O92" s="24"/>
      <c r="P92" s="24"/>
      <c r="Q92" s="24"/>
      <c r="R92" s="24"/>
    </row>
    <row r="93" spans="2:18" ht="25.95" customHeight="1" x14ac:dyDescent="0.55000000000000004">
      <c r="B93" s="89" t="s">
        <v>109</v>
      </c>
      <c r="C93" s="24"/>
      <c r="D93" s="37"/>
      <c r="E93" s="90" t="s">
        <v>110</v>
      </c>
      <c r="F93" s="24"/>
      <c r="G93" s="24"/>
      <c r="H93" s="24"/>
      <c r="I93" s="37"/>
      <c r="J93" s="64" t="s">
        <v>111</v>
      </c>
      <c r="K93" s="24"/>
      <c r="L93" s="24"/>
      <c r="M93" s="24"/>
      <c r="N93" s="24"/>
      <c r="O93" s="24"/>
      <c r="P93" s="24"/>
      <c r="Q93" s="24"/>
      <c r="R93" s="24"/>
    </row>
    <row r="94" spans="2:18" ht="25.95" customHeight="1" x14ac:dyDescent="0.55000000000000004">
      <c r="B94" s="64"/>
      <c r="C94" s="24"/>
      <c r="D94" s="37"/>
      <c r="E94" s="67"/>
      <c r="F94" s="24"/>
      <c r="G94" s="24"/>
      <c r="H94" s="24"/>
      <c r="I94" s="37"/>
      <c r="J94" s="63"/>
      <c r="K94" s="24"/>
      <c r="L94" s="24"/>
      <c r="M94" s="24"/>
      <c r="N94" s="24"/>
      <c r="O94" s="24"/>
      <c r="P94" s="24"/>
      <c r="Q94" s="24"/>
      <c r="R94" s="24"/>
    </row>
    <row r="95" spans="2:18" ht="25.95" customHeight="1" x14ac:dyDescent="0.55000000000000004">
      <c r="B95" s="64"/>
      <c r="C95" s="24"/>
      <c r="D95" s="37"/>
      <c r="E95" s="67"/>
      <c r="F95" s="24"/>
      <c r="G95" s="24"/>
      <c r="H95" s="24"/>
      <c r="I95" s="37"/>
      <c r="J95" s="63"/>
      <c r="K95" s="24"/>
      <c r="L95" s="24"/>
      <c r="M95" s="24"/>
      <c r="N95" s="24"/>
      <c r="O95" s="24"/>
      <c r="P95" s="24"/>
      <c r="Q95" s="24"/>
      <c r="R95" s="24"/>
    </row>
    <row r="96" spans="2:18" ht="25.95" customHeight="1" x14ac:dyDescent="0.55000000000000004">
      <c r="B96" s="91" t="s">
        <v>112</v>
      </c>
      <c r="C96" s="24"/>
      <c r="D96" s="24"/>
      <c r="E96" s="24"/>
      <c r="F96" s="24"/>
      <c r="G96" s="24"/>
      <c r="H96" s="24"/>
      <c r="I96" s="37"/>
      <c r="J96" s="63"/>
      <c r="K96" s="24"/>
      <c r="L96" s="24"/>
      <c r="M96" s="24"/>
      <c r="N96" s="24"/>
      <c r="O96" s="24"/>
      <c r="P96" s="24"/>
      <c r="Q96" s="24"/>
      <c r="R96" s="24"/>
    </row>
    <row r="98" spans="2:18" ht="25.95" customHeight="1" x14ac:dyDescent="0.55000000000000004">
      <c r="B98" s="49" t="s">
        <v>113</v>
      </c>
      <c r="C98" s="34"/>
      <c r="D98" s="34"/>
      <c r="E98" s="34"/>
      <c r="F98" s="34"/>
      <c r="G98" s="34"/>
      <c r="H98" s="34"/>
      <c r="I98" s="34"/>
      <c r="J98" s="34"/>
      <c r="K98" s="34"/>
      <c r="L98" s="34"/>
      <c r="M98" s="34"/>
      <c r="N98" s="34"/>
      <c r="O98" s="34"/>
      <c r="P98" s="34"/>
      <c r="Q98" s="34"/>
      <c r="R98" s="34"/>
    </row>
    <row r="99" spans="2:18" ht="25.95" customHeight="1" x14ac:dyDescent="0.55000000000000004">
      <c r="B99" s="49" t="s">
        <v>114</v>
      </c>
      <c r="C99" s="34"/>
      <c r="D99" s="34"/>
      <c r="E99" s="34"/>
      <c r="F99" s="34"/>
      <c r="G99" s="34"/>
      <c r="H99" s="34"/>
      <c r="I99" s="34"/>
      <c r="J99" s="34"/>
      <c r="K99" s="34"/>
      <c r="L99" s="34"/>
      <c r="M99" s="34"/>
      <c r="N99" s="34"/>
      <c r="O99" s="34"/>
      <c r="P99" s="34"/>
      <c r="Q99" s="34"/>
      <c r="R99" s="34"/>
    </row>
    <row r="100" spans="2:18" ht="25.95" customHeight="1" x14ac:dyDescent="0.55000000000000004">
      <c r="B100" s="49" t="s">
        <v>115</v>
      </c>
      <c r="C100" s="34"/>
      <c r="D100" s="34"/>
      <c r="E100" s="34"/>
      <c r="F100" s="34"/>
      <c r="G100" s="34"/>
      <c r="H100" s="34"/>
      <c r="I100" s="34"/>
      <c r="J100" s="34"/>
      <c r="K100" s="34"/>
      <c r="L100" s="34"/>
      <c r="M100" s="34"/>
      <c r="N100" s="34"/>
      <c r="O100" s="34"/>
      <c r="P100" s="34"/>
      <c r="Q100" s="34"/>
      <c r="R100" s="34"/>
    </row>
    <row r="101" spans="2:18" ht="25.95" customHeight="1" x14ac:dyDescent="0.55000000000000004">
      <c r="B101" s="92" t="s">
        <v>116</v>
      </c>
      <c r="C101" s="34"/>
      <c r="D101" s="71"/>
      <c r="E101" s="95" t="s">
        <v>117</v>
      </c>
      <c r="F101" s="34"/>
      <c r="G101" s="34"/>
      <c r="H101" s="34"/>
      <c r="I101" s="34"/>
      <c r="J101" s="34"/>
      <c r="K101" s="34"/>
      <c r="L101" s="34"/>
      <c r="M101" s="34"/>
      <c r="N101" s="71"/>
      <c r="O101" s="96"/>
      <c r="P101" s="34"/>
      <c r="Q101" s="34"/>
      <c r="R101" s="34"/>
    </row>
    <row r="102" spans="2:18" ht="25.95" customHeight="1" x14ac:dyDescent="0.55000000000000004">
      <c r="B102" s="93"/>
      <c r="C102" s="93"/>
      <c r="D102" s="94"/>
      <c r="E102" s="95" t="s">
        <v>118</v>
      </c>
      <c r="F102" s="34"/>
      <c r="G102" s="34"/>
      <c r="H102" s="34"/>
      <c r="I102" s="34"/>
      <c r="J102" s="34"/>
      <c r="K102" s="34"/>
      <c r="L102" s="34"/>
      <c r="M102" s="34"/>
      <c r="N102" s="71"/>
      <c r="O102" s="96"/>
      <c r="P102" s="34"/>
      <c r="Q102" s="34"/>
      <c r="R102" s="34"/>
    </row>
    <row r="103" spans="2:18" ht="25.95" customHeight="1" x14ac:dyDescent="0.55000000000000004">
      <c r="B103" s="93"/>
      <c r="C103" s="93"/>
      <c r="D103" s="94"/>
      <c r="E103" s="95" t="s">
        <v>119</v>
      </c>
      <c r="F103" s="34"/>
      <c r="G103" s="34"/>
      <c r="H103" s="34"/>
      <c r="I103" s="34"/>
      <c r="J103" s="34"/>
      <c r="K103" s="34"/>
      <c r="L103" s="34"/>
      <c r="M103" s="34"/>
      <c r="N103" s="71"/>
      <c r="O103" s="96"/>
      <c r="P103" s="34"/>
      <c r="Q103" s="34"/>
      <c r="R103" s="34"/>
    </row>
    <row r="104" spans="2:18" ht="25.95" customHeight="1" x14ac:dyDescent="0.55000000000000004">
      <c r="B104" s="26"/>
      <c r="C104" s="26"/>
      <c r="D104" s="28"/>
      <c r="E104" s="97" t="s">
        <v>120</v>
      </c>
      <c r="F104" s="24"/>
      <c r="G104" s="24"/>
      <c r="H104" s="24"/>
      <c r="I104" s="24"/>
      <c r="J104" s="24"/>
      <c r="K104" s="24"/>
      <c r="L104" s="24"/>
      <c r="M104" s="24"/>
      <c r="N104" s="37"/>
      <c r="O104" s="96">
        <f>O101-O102+O103</f>
        <v>0</v>
      </c>
      <c r="P104" s="34"/>
      <c r="Q104" s="34"/>
      <c r="R104" s="34"/>
    </row>
    <row r="105" spans="2:18" ht="25.95" customHeight="1" x14ac:dyDescent="0.55000000000000004">
      <c r="B105" s="85" t="s">
        <v>121</v>
      </c>
      <c r="C105" s="24"/>
      <c r="D105" s="24"/>
      <c r="E105" s="24"/>
      <c r="F105" s="24"/>
      <c r="G105" s="24"/>
      <c r="H105" s="24"/>
      <c r="I105" s="24"/>
      <c r="J105" s="24"/>
      <c r="K105" s="24"/>
      <c r="L105" s="24"/>
      <c r="M105" s="24"/>
      <c r="N105" s="37"/>
      <c r="O105" s="96">
        <f>O80</f>
        <v>0</v>
      </c>
      <c r="P105" s="34"/>
      <c r="Q105" s="34"/>
      <c r="R105" s="34"/>
    </row>
    <row r="106" spans="2:18" ht="25.95" customHeight="1" x14ac:dyDescent="0.55000000000000004">
      <c r="B106" s="98" t="s">
        <v>122</v>
      </c>
      <c r="C106" s="34"/>
      <c r="D106" s="71"/>
      <c r="E106" s="95" t="s">
        <v>123</v>
      </c>
      <c r="F106" s="34"/>
      <c r="G106" s="34"/>
      <c r="H106" s="34"/>
      <c r="I106" s="34"/>
      <c r="J106" s="34"/>
      <c r="K106" s="34"/>
      <c r="L106" s="34"/>
      <c r="M106" s="34"/>
      <c r="N106" s="71"/>
      <c r="O106" s="96">
        <f>O104+O105</f>
        <v>0</v>
      </c>
      <c r="P106" s="34"/>
      <c r="Q106" s="34"/>
      <c r="R106" s="34"/>
    </row>
    <row r="107" spans="2:18" ht="25.95" customHeight="1" x14ac:dyDescent="0.55000000000000004">
      <c r="B107" s="93"/>
      <c r="C107" s="93"/>
      <c r="D107" s="94"/>
      <c r="E107" s="95" t="s">
        <v>124</v>
      </c>
      <c r="F107" s="34"/>
      <c r="G107" s="34"/>
      <c r="H107" s="34"/>
      <c r="I107" s="34"/>
      <c r="J107" s="34"/>
      <c r="K107" s="34"/>
      <c r="L107" s="34"/>
      <c r="M107" s="34"/>
      <c r="N107" s="71"/>
      <c r="O107" s="96"/>
      <c r="P107" s="34"/>
      <c r="Q107" s="34"/>
      <c r="R107" s="34"/>
    </row>
    <row r="108" spans="2:18" ht="25.95" customHeight="1" x14ac:dyDescent="0.55000000000000004">
      <c r="B108" s="26"/>
      <c r="C108" s="26"/>
      <c r="D108" s="28"/>
      <c r="E108" s="97" t="s">
        <v>125</v>
      </c>
      <c r="F108" s="24"/>
      <c r="G108" s="24"/>
      <c r="H108" s="24"/>
      <c r="I108" s="24"/>
      <c r="J108" s="24"/>
      <c r="K108" s="24"/>
      <c r="L108" s="24"/>
      <c r="M108" s="24"/>
      <c r="N108" s="37"/>
      <c r="O108" s="96"/>
      <c r="P108" s="34"/>
      <c r="Q108" s="34"/>
      <c r="R108" s="34"/>
    </row>
    <row r="109" spans="2:18" ht="25.95" customHeight="1" x14ac:dyDescent="0.55000000000000004">
      <c r="B109" s="85" t="s">
        <v>126</v>
      </c>
      <c r="C109" s="24"/>
      <c r="D109" s="24"/>
      <c r="E109" s="24"/>
      <c r="F109" s="24"/>
      <c r="G109" s="24"/>
      <c r="H109" s="24"/>
      <c r="I109" s="24"/>
      <c r="J109" s="24"/>
      <c r="K109" s="24"/>
      <c r="L109" s="24"/>
      <c r="M109" s="24"/>
      <c r="N109" s="37"/>
      <c r="O109" s="33">
        <f>O106+O107-O108</f>
        <v>0</v>
      </c>
      <c r="P109" s="24"/>
      <c r="Q109" s="24"/>
      <c r="R109" s="24"/>
    </row>
    <row r="111" spans="2:18" ht="31.95" customHeight="1" x14ac:dyDescent="0.55000000000000004">
      <c r="B111" s="49" t="s">
        <v>127</v>
      </c>
      <c r="C111" s="34"/>
      <c r="D111" s="34"/>
      <c r="E111" s="34"/>
      <c r="F111" s="34"/>
      <c r="G111" s="34"/>
      <c r="H111" s="34"/>
      <c r="I111" s="34"/>
      <c r="J111" s="34"/>
      <c r="K111" s="34"/>
      <c r="L111" s="34"/>
      <c r="M111" s="34"/>
      <c r="N111" s="34"/>
      <c r="O111" s="34"/>
      <c r="P111" s="34"/>
      <c r="Q111" s="34"/>
      <c r="R111" s="34"/>
    </row>
    <row r="112" spans="2:18" ht="31.95" customHeight="1" x14ac:dyDescent="0.55000000000000004">
      <c r="B112" s="87" t="s">
        <v>128</v>
      </c>
      <c r="C112" s="34"/>
      <c r="D112" s="34"/>
      <c r="E112" s="34"/>
      <c r="F112" s="34"/>
      <c r="G112" s="34"/>
      <c r="H112" s="34"/>
      <c r="I112" s="34"/>
      <c r="J112" s="34"/>
      <c r="K112" s="34"/>
      <c r="L112" s="34"/>
      <c r="M112" s="34"/>
      <c r="N112" s="71"/>
      <c r="O112" s="99" t="s">
        <v>51</v>
      </c>
      <c r="P112" s="34"/>
      <c r="Q112" s="34"/>
      <c r="R112" s="34"/>
    </row>
    <row r="113" spans="2:18" ht="31.95" customHeight="1" x14ac:dyDescent="0.55000000000000004">
      <c r="B113" s="100" t="s">
        <v>129</v>
      </c>
      <c r="C113" s="34"/>
      <c r="D113" s="34"/>
      <c r="E113" s="34"/>
      <c r="F113" s="34"/>
      <c r="G113" s="34"/>
      <c r="H113" s="34"/>
      <c r="I113" s="34"/>
      <c r="J113" s="34"/>
      <c r="K113" s="34"/>
      <c r="L113" s="34"/>
      <c r="M113" s="34"/>
      <c r="N113" s="71"/>
      <c r="O113" s="96"/>
      <c r="P113" s="34"/>
      <c r="Q113" s="34"/>
      <c r="R113" s="34"/>
    </row>
    <row r="114" spans="2:18" ht="31.95" customHeight="1" x14ac:dyDescent="0.55000000000000004">
      <c r="B114" s="100" t="s">
        <v>130</v>
      </c>
      <c r="C114" s="34"/>
      <c r="D114" s="34"/>
      <c r="E114" s="34"/>
      <c r="F114" s="34"/>
      <c r="G114" s="34"/>
      <c r="H114" s="34"/>
      <c r="I114" s="34"/>
      <c r="J114" s="34"/>
      <c r="K114" s="34"/>
      <c r="L114" s="34"/>
      <c r="M114" s="34"/>
      <c r="N114" s="71"/>
      <c r="O114" s="96"/>
      <c r="P114" s="34"/>
      <c r="Q114" s="34"/>
      <c r="R114" s="34"/>
    </row>
    <row r="115" spans="2:18" ht="31.95" customHeight="1" x14ac:dyDescent="0.55000000000000004">
      <c r="B115" s="100" t="s">
        <v>131</v>
      </c>
      <c r="C115" s="34"/>
      <c r="D115" s="34"/>
      <c r="E115" s="34"/>
      <c r="F115" s="34"/>
      <c r="G115" s="34"/>
      <c r="H115" s="34"/>
      <c r="I115" s="34"/>
      <c r="J115" s="34"/>
      <c r="K115" s="34"/>
      <c r="L115" s="34"/>
      <c r="M115" s="34"/>
      <c r="N115" s="71"/>
      <c r="O115" s="96"/>
      <c r="P115" s="34"/>
      <c r="Q115" s="34"/>
      <c r="R115" s="34"/>
    </row>
    <row r="116" spans="2:18" ht="31.95" customHeight="1" x14ac:dyDescent="0.55000000000000004">
      <c r="B116" s="100" t="s">
        <v>132</v>
      </c>
      <c r="C116" s="34"/>
      <c r="D116" s="34"/>
      <c r="E116" s="34"/>
      <c r="F116" s="34"/>
      <c r="G116" s="34"/>
      <c r="H116" s="34"/>
      <c r="I116" s="34"/>
      <c r="J116" s="34"/>
      <c r="K116" s="34"/>
      <c r="L116" s="34"/>
      <c r="M116" s="34"/>
      <c r="N116" s="71"/>
      <c r="O116" s="96"/>
      <c r="P116" s="34"/>
      <c r="Q116" s="34"/>
      <c r="R116" s="34"/>
    </row>
    <row r="117" spans="2:18" ht="31.95" customHeight="1" x14ac:dyDescent="0.55000000000000004">
      <c r="B117" s="100" t="s">
        <v>133</v>
      </c>
      <c r="C117" s="34"/>
      <c r="D117" s="34"/>
      <c r="E117" s="34"/>
      <c r="F117" s="34"/>
      <c r="G117" s="34"/>
      <c r="H117" s="34"/>
      <c r="I117" s="34"/>
      <c r="J117" s="34"/>
      <c r="K117" s="34"/>
      <c r="L117" s="34"/>
      <c r="M117" s="34"/>
      <c r="N117" s="71"/>
      <c r="O117" s="96"/>
      <c r="P117" s="34"/>
      <c r="Q117" s="34"/>
      <c r="R117" s="34"/>
    </row>
    <row r="118" spans="2:18" ht="31.95" customHeight="1" x14ac:dyDescent="0.55000000000000004">
      <c r="B118" s="100" t="s">
        <v>134</v>
      </c>
      <c r="C118" s="34"/>
      <c r="D118" s="34"/>
      <c r="E118" s="34"/>
      <c r="F118" s="34"/>
      <c r="G118" s="34"/>
      <c r="H118" s="34"/>
      <c r="I118" s="34"/>
      <c r="J118" s="34"/>
      <c r="K118" s="34"/>
      <c r="L118" s="34"/>
      <c r="M118" s="34"/>
      <c r="N118" s="71"/>
      <c r="O118" s="96"/>
      <c r="P118" s="34"/>
      <c r="Q118" s="34"/>
      <c r="R118" s="34"/>
    </row>
    <row r="119" spans="2:18" ht="31.95" customHeight="1" x14ac:dyDescent="0.55000000000000004">
      <c r="B119" s="100" t="s">
        <v>135</v>
      </c>
      <c r="C119" s="34"/>
      <c r="D119" s="34"/>
      <c r="E119" s="34"/>
      <c r="F119" s="34"/>
      <c r="G119" s="34"/>
      <c r="H119" s="34"/>
      <c r="I119" s="34"/>
      <c r="J119" s="34"/>
      <c r="K119" s="34"/>
      <c r="L119" s="34"/>
      <c r="M119" s="34"/>
      <c r="N119" s="71"/>
      <c r="O119" s="96"/>
      <c r="P119" s="34"/>
      <c r="Q119" s="34"/>
      <c r="R119" s="34"/>
    </row>
    <row r="120" spans="2:18" ht="31.95" customHeight="1" x14ac:dyDescent="0.55000000000000004">
      <c r="B120" s="100" t="s">
        <v>136</v>
      </c>
      <c r="C120" s="34"/>
      <c r="D120" s="34"/>
      <c r="E120" s="34"/>
      <c r="F120" s="34"/>
      <c r="G120" s="34"/>
      <c r="H120" s="34"/>
      <c r="I120" s="34"/>
      <c r="J120" s="34"/>
      <c r="K120" s="34"/>
      <c r="L120" s="34"/>
      <c r="M120" s="34"/>
      <c r="N120" s="71"/>
      <c r="O120" s="96"/>
      <c r="P120" s="34"/>
      <c r="Q120" s="34"/>
      <c r="R120" s="34"/>
    </row>
    <row r="121" spans="2:18" ht="31.95" customHeight="1" x14ac:dyDescent="0.55000000000000004">
      <c r="B121" s="100" t="s">
        <v>137</v>
      </c>
      <c r="C121" s="34"/>
      <c r="D121" s="34"/>
      <c r="E121" s="34"/>
      <c r="F121" s="34"/>
      <c r="G121" s="34"/>
      <c r="H121" s="34"/>
      <c r="I121" s="34"/>
      <c r="J121" s="34"/>
      <c r="K121" s="34"/>
      <c r="L121" s="34"/>
      <c r="M121" s="34"/>
      <c r="N121" s="71"/>
      <c r="O121" s="96"/>
      <c r="P121" s="34"/>
      <c r="Q121" s="34"/>
      <c r="R121" s="34"/>
    </row>
    <row r="122" spans="2:18" ht="31.95" customHeight="1" x14ac:dyDescent="0.55000000000000004">
      <c r="B122" s="100" t="s">
        <v>138</v>
      </c>
      <c r="C122" s="34"/>
      <c r="D122" s="34"/>
      <c r="E122" s="34"/>
      <c r="F122" s="34"/>
      <c r="G122" s="34"/>
      <c r="H122" s="34"/>
      <c r="I122" s="34"/>
      <c r="J122" s="34"/>
      <c r="K122" s="34"/>
      <c r="L122" s="34"/>
      <c r="M122" s="34"/>
      <c r="N122" s="71"/>
      <c r="O122" s="96"/>
      <c r="P122" s="34"/>
      <c r="Q122" s="34"/>
      <c r="R122" s="34"/>
    </row>
    <row r="123" spans="2:18" ht="31.95" customHeight="1" x14ac:dyDescent="0.55000000000000004">
      <c r="B123" s="100" t="s">
        <v>139</v>
      </c>
      <c r="C123" s="34"/>
      <c r="D123" s="34"/>
      <c r="E123" s="34"/>
      <c r="F123" s="34"/>
      <c r="G123" s="34"/>
      <c r="H123" s="34"/>
      <c r="I123" s="34"/>
      <c r="J123" s="34"/>
      <c r="K123" s="34"/>
      <c r="L123" s="34"/>
      <c r="M123" s="34"/>
      <c r="N123" s="71"/>
      <c r="O123" s="96"/>
      <c r="P123" s="34"/>
      <c r="Q123" s="34"/>
      <c r="R123" s="34"/>
    </row>
    <row r="124" spans="2:18" ht="31.95" customHeight="1" x14ac:dyDescent="0.55000000000000004">
      <c r="B124" s="100" t="s">
        <v>140</v>
      </c>
      <c r="C124" s="34"/>
      <c r="D124" s="34"/>
      <c r="E124" s="34"/>
      <c r="F124" s="34"/>
      <c r="G124" s="34"/>
      <c r="H124" s="34"/>
      <c r="I124" s="34"/>
      <c r="J124" s="34"/>
      <c r="K124" s="34"/>
      <c r="L124" s="34"/>
      <c r="M124" s="34"/>
      <c r="N124" s="71"/>
      <c r="O124" s="96"/>
      <c r="P124" s="34"/>
      <c r="Q124" s="34"/>
      <c r="R124" s="34"/>
    </row>
    <row r="125" spans="2:18" ht="31.95" customHeight="1" x14ac:dyDescent="0.55000000000000004">
      <c r="B125" s="100" t="s">
        <v>141</v>
      </c>
      <c r="C125" s="34"/>
      <c r="D125" s="34"/>
      <c r="E125" s="34"/>
      <c r="F125" s="34"/>
      <c r="G125" s="34"/>
      <c r="H125" s="34"/>
      <c r="I125" s="34"/>
      <c r="J125" s="34"/>
      <c r="K125" s="34"/>
      <c r="L125" s="34"/>
      <c r="M125" s="34"/>
      <c r="N125" s="71"/>
      <c r="O125" s="96"/>
      <c r="P125" s="34"/>
      <c r="Q125" s="34"/>
      <c r="R125" s="34"/>
    </row>
    <row r="126" spans="2:18" ht="31.95" customHeight="1" x14ac:dyDescent="0.55000000000000004">
      <c r="B126" s="100" t="s">
        <v>142</v>
      </c>
      <c r="C126" s="34"/>
      <c r="D126" s="34"/>
      <c r="E126" s="34"/>
      <c r="F126" s="34"/>
      <c r="G126" s="34"/>
      <c r="H126" s="34"/>
      <c r="I126" s="34"/>
      <c r="J126" s="34"/>
      <c r="K126" s="34"/>
      <c r="L126" s="34"/>
      <c r="M126" s="34"/>
      <c r="N126" s="71"/>
      <c r="O126" s="33"/>
      <c r="P126" s="24"/>
      <c r="Q126" s="24"/>
      <c r="R126" s="24"/>
    </row>
    <row r="127" spans="2:18" ht="31.95" customHeight="1" x14ac:dyDescent="0.55000000000000004">
      <c r="B127" s="100" t="s">
        <v>143</v>
      </c>
      <c r="C127" s="34"/>
      <c r="D127" s="34"/>
      <c r="E127" s="34"/>
      <c r="F127" s="34"/>
      <c r="G127" s="34"/>
      <c r="H127" s="34"/>
      <c r="I127" s="34"/>
      <c r="J127" s="34"/>
      <c r="K127" s="34"/>
      <c r="L127" s="34"/>
      <c r="M127" s="34"/>
      <c r="N127" s="71"/>
      <c r="O127" s="101"/>
      <c r="P127" s="61"/>
      <c r="Q127" s="61"/>
      <c r="R127" s="61"/>
    </row>
    <row r="128" spans="2:18" ht="31.95" customHeight="1" x14ac:dyDescent="0.55000000000000004">
      <c r="B128" s="100" t="s">
        <v>144</v>
      </c>
      <c r="C128" s="34"/>
      <c r="D128" s="34"/>
      <c r="E128" s="34"/>
      <c r="F128" s="34"/>
      <c r="G128" s="34"/>
      <c r="H128" s="34"/>
      <c r="I128" s="34"/>
      <c r="J128" s="34"/>
      <c r="K128" s="34"/>
      <c r="L128" s="34"/>
      <c r="M128" s="34"/>
      <c r="N128" s="71"/>
      <c r="O128" s="96"/>
      <c r="P128" s="34"/>
      <c r="Q128" s="34"/>
      <c r="R128" s="34"/>
    </row>
    <row r="129" spans="2:19" ht="31.95" customHeight="1" x14ac:dyDescent="0.55000000000000004">
      <c r="B129" s="82" t="s">
        <v>145</v>
      </c>
      <c r="C129" s="24"/>
      <c r="D129" s="24"/>
      <c r="E129" s="24"/>
      <c r="F129" s="24"/>
      <c r="G129" s="24"/>
      <c r="H129" s="24"/>
      <c r="I129" s="24"/>
      <c r="J129" s="24"/>
      <c r="K129" s="24"/>
      <c r="L129" s="24"/>
      <c r="M129" s="24"/>
      <c r="N129" s="37"/>
      <c r="O129" s="63">
        <f>SUM(O113:R128)</f>
        <v>0</v>
      </c>
      <c r="P129" s="24"/>
      <c r="Q129" s="24"/>
      <c r="R129" s="24"/>
    </row>
    <row r="131" spans="2:19" ht="31.95" customHeight="1" x14ac:dyDescent="0.55000000000000004">
      <c r="B131" s="49" t="s">
        <v>146</v>
      </c>
      <c r="C131" s="34"/>
      <c r="D131" s="34"/>
      <c r="E131" s="34"/>
      <c r="F131" s="34"/>
      <c r="G131" s="34"/>
      <c r="H131" s="34"/>
      <c r="I131" s="34"/>
      <c r="J131" s="34"/>
      <c r="K131" s="34"/>
      <c r="L131" s="34"/>
      <c r="M131" s="34"/>
      <c r="N131" s="34"/>
      <c r="O131" s="34"/>
      <c r="P131" s="34"/>
      <c r="Q131" s="34"/>
      <c r="R131" s="34"/>
    </row>
    <row r="132" spans="2:19" ht="31.95" customHeight="1" x14ac:dyDescent="0.55000000000000004">
      <c r="B132" s="89" t="s">
        <v>148</v>
      </c>
      <c r="C132" s="65"/>
      <c r="D132" s="65"/>
      <c r="E132" s="102"/>
      <c r="F132" s="90" t="s">
        <v>147</v>
      </c>
      <c r="G132" s="24"/>
      <c r="H132" s="24"/>
      <c r="I132" s="24"/>
      <c r="J132" s="24"/>
      <c r="K132" s="24"/>
      <c r="L132" s="37"/>
      <c r="M132" s="64" t="s">
        <v>149</v>
      </c>
      <c r="N132" s="24"/>
      <c r="O132" s="24"/>
      <c r="P132" s="24"/>
      <c r="Q132" s="24"/>
      <c r="R132" s="24"/>
    </row>
    <row r="133" spans="2:19" ht="31.95" customHeight="1" x14ac:dyDescent="0.55000000000000004">
      <c r="B133" s="103"/>
      <c r="C133" s="24"/>
      <c r="D133" s="24"/>
      <c r="E133" s="37"/>
      <c r="F133" s="33"/>
      <c r="G133" s="24"/>
      <c r="H133" s="24"/>
      <c r="I133" s="24"/>
      <c r="J133" s="24"/>
      <c r="K133" s="24"/>
      <c r="L133" s="37"/>
      <c r="M133" s="63"/>
      <c r="N133" s="24"/>
      <c r="O133" s="24"/>
      <c r="P133" s="24"/>
      <c r="Q133" s="24"/>
      <c r="R133" s="24"/>
    </row>
    <row r="134" spans="2:19" ht="31.95" customHeight="1" x14ac:dyDescent="0.55000000000000004">
      <c r="B134" s="103"/>
      <c r="C134" s="24"/>
      <c r="D134" s="24"/>
      <c r="E134" s="37"/>
      <c r="F134" s="33"/>
      <c r="G134" s="24"/>
      <c r="H134" s="24"/>
      <c r="I134" s="24"/>
      <c r="J134" s="24"/>
      <c r="K134" s="24"/>
      <c r="L134" s="37"/>
      <c r="M134" s="63"/>
      <c r="N134" s="24"/>
      <c r="O134" s="24"/>
      <c r="P134" s="24"/>
      <c r="Q134" s="24"/>
      <c r="R134" s="24"/>
    </row>
    <row r="135" spans="2:19" ht="31.95" customHeight="1" x14ac:dyDescent="0.55000000000000004">
      <c r="B135" s="103"/>
      <c r="C135" s="24"/>
      <c r="D135" s="24"/>
      <c r="E135" s="37"/>
      <c r="F135" s="33"/>
      <c r="G135" s="24"/>
      <c r="H135" s="24"/>
      <c r="I135" s="24"/>
      <c r="J135" s="24"/>
      <c r="K135" s="24"/>
      <c r="L135" s="37"/>
      <c r="M135" s="63"/>
      <c r="N135" s="24"/>
      <c r="O135" s="24"/>
      <c r="P135" s="24"/>
      <c r="Q135" s="24"/>
      <c r="R135" s="24"/>
    </row>
    <row r="136" spans="2:19" ht="31.95" customHeight="1" x14ac:dyDescent="0.55000000000000004">
      <c r="B136" s="103"/>
      <c r="C136" s="24"/>
      <c r="D136" s="24"/>
      <c r="E136" s="37"/>
      <c r="F136" s="33"/>
      <c r="G136" s="24"/>
      <c r="H136" s="24"/>
      <c r="I136" s="24"/>
      <c r="J136" s="24"/>
      <c r="K136" s="24"/>
      <c r="L136" s="37"/>
      <c r="M136" s="63"/>
      <c r="N136" s="24"/>
      <c r="O136" s="24"/>
      <c r="P136" s="24"/>
      <c r="Q136" s="24"/>
      <c r="R136" s="24"/>
    </row>
    <row r="137" spans="2:19" ht="31.95" customHeight="1" x14ac:dyDescent="0.55000000000000004">
      <c r="B137" s="89" t="s">
        <v>150</v>
      </c>
      <c r="C137" s="65"/>
      <c r="D137" s="65"/>
      <c r="E137" s="102"/>
      <c r="F137" s="33"/>
      <c r="G137" s="24"/>
      <c r="H137" s="24"/>
      <c r="I137" s="24"/>
      <c r="J137" s="24"/>
      <c r="K137" s="24"/>
      <c r="L137" s="37"/>
      <c r="M137" s="63"/>
      <c r="N137" s="24"/>
      <c r="O137" s="24"/>
      <c r="P137" s="24"/>
      <c r="Q137" s="24"/>
      <c r="R137" s="24"/>
    </row>
    <row r="138" spans="2:19" ht="4.95" customHeight="1" x14ac:dyDescent="0.55000000000000004"/>
    <row r="139" spans="2:19" ht="31.95" customHeight="1" x14ac:dyDescent="0.55000000000000004">
      <c r="B139" s="49" t="s">
        <v>151</v>
      </c>
      <c r="C139" s="34"/>
      <c r="D139" s="34"/>
      <c r="E139" s="34"/>
      <c r="F139" s="34"/>
      <c r="G139" s="34"/>
      <c r="H139" s="34"/>
      <c r="I139" s="34"/>
      <c r="J139" s="34"/>
      <c r="K139" s="34"/>
      <c r="L139" s="34"/>
      <c r="M139" s="34"/>
      <c r="N139" s="34"/>
      <c r="O139" s="34"/>
      <c r="P139" s="34"/>
      <c r="Q139" s="34"/>
      <c r="R139" s="34"/>
      <c r="S139" s="19"/>
    </row>
    <row r="140" spans="2:19" ht="31.95" customHeight="1" x14ac:dyDescent="0.55000000000000004">
      <c r="B140" s="49" t="s">
        <v>152</v>
      </c>
      <c r="C140" s="34"/>
      <c r="D140" s="34"/>
      <c r="E140" s="34"/>
      <c r="F140" s="34"/>
      <c r="G140" s="34"/>
      <c r="H140" s="34"/>
      <c r="I140" s="34"/>
      <c r="J140" s="34"/>
      <c r="K140" s="34"/>
      <c r="L140" s="34"/>
      <c r="M140" s="34"/>
      <c r="N140" s="34"/>
      <c r="O140" s="34"/>
      <c r="P140" s="34"/>
      <c r="Q140" s="34"/>
      <c r="R140" s="34"/>
    </row>
    <row r="141" spans="2:19" ht="31.95" customHeight="1" x14ac:dyDescent="0.55000000000000004">
      <c r="B141" s="62" t="s">
        <v>153</v>
      </c>
      <c r="C141" s="24"/>
      <c r="D141" s="24"/>
      <c r="E141" s="24"/>
      <c r="F141" s="24"/>
      <c r="G141" s="24"/>
      <c r="H141" s="24"/>
      <c r="I141" s="24"/>
      <c r="J141" s="24"/>
      <c r="K141" s="24"/>
      <c r="L141" s="24"/>
      <c r="M141" s="24"/>
      <c r="N141" s="37"/>
      <c r="O141" s="96"/>
      <c r="P141" s="34"/>
      <c r="Q141" s="34"/>
      <c r="R141" s="34"/>
    </row>
    <row r="142" spans="2:19" ht="31.95" customHeight="1" x14ac:dyDescent="0.55000000000000004">
      <c r="B142" s="62" t="s">
        <v>155</v>
      </c>
      <c r="C142" s="24"/>
      <c r="D142" s="24"/>
      <c r="E142" s="24"/>
      <c r="F142" s="24"/>
      <c r="G142" s="24"/>
      <c r="H142" s="24"/>
      <c r="I142" s="24"/>
      <c r="J142" s="24"/>
      <c r="K142" s="24"/>
      <c r="L142" s="24"/>
      <c r="M142" s="24"/>
      <c r="N142" s="37"/>
      <c r="O142" s="96"/>
      <c r="P142" s="34"/>
      <c r="Q142" s="34"/>
      <c r="R142" s="34"/>
    </row>
    <row r="143" spans="2:19" ht="31.95" customHeight="1" x14ac:dyDescent="0.55000000000000004">
      <c r="B143" s="62" t="s">
        <v>154</v>
      </c>
      <c r="C143" s="24"/>
      <c r="D143" s="24"/>
      <c r="E143" s="24"/>
      <c r="F143" s="24"/>
      <c r="G143" s="24"/>
      <c r="H143" s="24"/>
      <c r="I143" s="24"/>
      <c r="J143" s="24"/>
      <c r="K143" s="24"/>
      <c r="L143" s="24"/>
      <c r="M143" s="24"/>
      <c r="N143" s="37"/>
      <c r="O143" s="96"/>
      <c r="P143" s="34"/>
      <c r="Q143" s="34"/>
      <c r="R143" s="34"/>
    </row>
    <row r="144" spans="2:19" ht="31.95" customHeight="1" x14ac:dyDescent="0.55000000000000004">
      <c r="B144" s="49" t="s">
        <v>156</v>
      </c>
      <c r="C144" s="34"/>
      <c r="D144" s="34"/>
      <c r="E144" s="34"/>
      <c r="F144" s="34"/>
      <c r="G144" s="34"/>
      <c r="H144" s="34"/>
      <c r="I144" s="34"/>
      <c r="J144" s="34"/>
      <c r="K144" s="34"/>
      <c r="L144" s="34"/>
      <c r="M144" s="34"/>
      <c r="N144" s="34"/>
      <c r="O144" s="34"/>
      <c r="P144" s="34"/>
      <c r="Q144" s="34"/>
      <c r="R144" s="34"/>
    </row>
    <row r="145" spans="2:18" ht="31.95" customHeight="1" x14ac:dyDescent="0.55000000000000004">
      <c r="B145" s="104" t="s">
        <v>157</v>
      </c>
      <c r="C145" s="24"/>
      <c r="D145" s="24"/>
      <c r="E145" s="24"/>
      <c r="F145" s="24"/>
      <c r="G145" s="24"/>
      <c r="H145" s="24"/>
      <c r="I145" s="37"/>
      <c r="J145" s="105" t="s">
        <v>158</v>
      </c>
      <c r="K145" s="24"/>
      <c r="L145" s="24"/>
      <c r="M145" s="37"/>
      <c r="N145" s="67" t="s">
        <v>159</v>
      </c>
      <c r="O145" s="24"/>
      <c r="P145" s="24"/>
      <c r="Q145" s="24"/>
      <c r="R145" s="24"/>
    </row>
    <row r="146" spans="2:18" ht="54" customHeight="1" x14ac:dyDescent="0.55000000000000004">
      <c r="B146" s="106" t="s">
        <v>160</v>
      </c>
      <c r="C146" s="24"/>
      <c r="D146" s="24"/>
      <c r="E146" s="24"/>
      <c r="F146" s="24"/>
      <c r="G146" s="24"/>
      <c r="H146" s="24"/>
      <c r="I146" s="31"/>
      <c r="J146" s="32"/>
      <c r="K146" s="24"/>
      <c r="L146" s="24"/>
      <c r="M146" s="31"/>
      <c r="N146" s="33"/>
      <c r="O146" s="24"/>
      <c r="P146" s="24"/>
      <c r="Q146" s="24"/>
      <c r="R146" s="24"/>
    </row>
    <row r="147" spans="2:18" ht="38.4" customHeight="1" x14ac:dyDescent="0.55000000000000004">
      <c r="B147" s="106" t="s">
        <v>161</v>
      </c>
      <c r="C147" s="24"/>
      <c r="D147" s="24"/>
      <c r="E147" s="24"/>
      <c r="F147" s="24"/>
      <c r="G147" s="24"/>
      <c r="H147" s="24"/>
      <c r="I147" s="31"/>
      <c r="J147" s="32"/>
      <c r="K147" s="24"/>
      <c r="L147" s="24"/>
      <c r="M147" s="31"/>
      <c r="N147" s="33"/>
      <c r="O147" s="24"/>
      <c r="P147" s="24"/>
      <c r="Q147" s="24"/>
      <c r="R147" s="24"/>
    </row>
    <row r="148" spans="2:18" ht="31.95" customHeight="1" x14ac:dyDescent="0.55000000000000004">
      <c r="B148" s="106" t="s">
        <v>162</v>
      </c>
      <c r="C148" s="24"/>
      <c r="D148" s="24"/>
      <c r="E148" s="24"/>
      <c r="F148" s="24"/>
      <c r="G148" s="24"/>
      <c r="H148" s="24"/>
      <c r="I148" s="31"/>
      <c r="J148" s="32"/>
      <c r="K148" s="24"/>
      <c r="L148" s="24"/>
      <c r="M148" s="31"/>
      <c r="N148" s="33"/>
      <c r="O148" s="24"/>
      <c r="P148" s="24"/>
      <c r="Q148" s="24"/>
      <c r="R148" s="24"/>
    </row>
    <row r="150" spans="2:18" ht="34.950000000000003" customHeight="1" x14ac:dyDescent="0.55000000000000004">
      <c r="B150" s="49" t="s">
        <v>163</v>
      </c>
      <c r="C150" s="34"/>
      <c r="D150" s="34"/>
      <c r="E150" s="34"/>
      <c r="F150" s="34"/>
      <c r="G150" s="34"/>
      <c r="H150" s="34"/>
      <c r="I150" s="34"/>
      <c r="J150" s="34"/>
      <c r="K150" s="34"/>
      <c r="L150" s="34"/>
      <c r="M150" s="34"/>
      <c r="N150" s="34"/>
      <c r="O150" s="34"/>
      <c r="P150" s="34"/>
      <c r="Q150" s="34"/>
      <c r="R150" s="34"/>
    </row>
    <row r="151" spans="2:18" ht="34.950000000000003" customHeight="1" x14ac:dyDescent="0.55000000000000004">
      <c r="B151" s="88" t="s">
        <v>164</v>
      </c>
      <c r="C151" s="34"/>
      <c r="D151" s="34"/>
      <c r="E151" s="34"/>
      <c r="F151" s="34"/>
      <c r="G151" s="34"/>
      <c r="H151" s="34"/>
      <c r="I151" s="34"/>
      <c r="J151" s="34"/>
      <c r="K151" s="34"/>
      <c r="L151" s="34"/>
      <c r="M151" s="34"/>
      <c r="N151" s="34"/>
      <c r="O151" s="34"/>
      <c r="P151" s="34"/>
      <c r="Q151" s="34"/>
      <c r="R151" s="34"/>
    </row>
    <row r="152" spans="2:18" ht="34.950000000000003" customHeight="1" x14ac:dyDescent="0.55000000000000004">
      <c r="B152" s="49" t="s">
        <v>165</v>
      </c>
      <c r="C152" s="34"/>
      <c r="D152" s="34"/>
      <c r="E152" s="34"/>
      <c r="F152" s="34"/>
      <c r="G152" s="34"/>
      <c r="H152" s="34"/>
      <c r="I152" s="34"/>
      <c r="J152" s="34"/>
      <c r="K152" s="34"/>
      <c r="L152" s="34"/>
      <c r="M152" s="34"/>
      <c r="N152" s="34"/>
      <c r="O152" s="34"/>
      <c r="P152" s="34"/>
      <c r="Q152" s="34"/>
      <c r="R152" s="34"/>
    </row>
    <row r="153" spans="2:18" ht="34.950000000000003" customHeight="1" x14ac:dyDescent="0.55000000000000004">
      <c r="B153" s="78" t="s">
        <v>166</v>
      </c>
      <c r="C153" s="34"/>
      <c r="D153" s="34"/>
      <c r="E153" s="34"/>
      <c r="F153" s="34"/>
      <c r="G153" s="34"/>
      <c r="H153" s="34"/>
      <c r="I153" s="34"/>
      <c r="J153" s="34"/>
      <c r="K153" s="34"/>
      <c r="L153" s="34"/>
      <c r="M153" s="34"/>
      <c r="N153" s="34"/>
      <c r="O153" s="34"/>
      <c r="P153" s="34"/>
      <c r="Q153" s="34"/>
      <c r="R153" s="34"/>
    </row>
    <row r="154" spans="2:18" ht="34.950000000000003" customHeight="1" x14ac:dyDescent="0.55000000000000004">
      <c r="B154" s="89" t="s">
        <v>167</v>
      </c>
      <c r="C154" s="24"/>
      <c r="D154" s="24"/>
      <c r="E154" s="24"/>
      <c r="F154" s="24"/>
      <c r="G154" s="24"/>
      <c r="H154" s="24"/>
      <c r="I154" s="24"/>
      <c r="J154" s="37"/>
      <c r="K154" s="78" t="s">
        <v>168</v>
      </c>
      <c r="L154" s="34"/>
      <c r="M154" s="34"/>
      <c r="N154" s="34"/>
      <c r="O154" s="34"/>
      <c r="P154" s="34"/>
      <c r="Q154" s="34"/>
      <c r="R154" s="34"/>
    </row>
    <row r="155" spans="2:18" ht="34.950000000000003" customHeight="1" x14ac:dyDescent="0.55000000000000004">
      <c r="B155" s="63"/>
      <c r="C155" s="24"/>
      <c r="D155" s="24"/>
      <c r="E155" s="24"/>
      <c r="F155" s="24"/>
      <c r="G155" s="24"/>
      <c r="H155" s="24"/>
      <c r="I155" s="24"/>
      <c r="J155" s="37"/>
      <c r="K155" s="63"/>
      <c r="L155" s="24"/>
      <c r="M155" s="24"/>
      <c r="N155" s="24"/>
      <c r="O155" s="24"/>
      <c r="P155" s="24"/>
      <c r="Q155" s="24"/>
      <c r="R155" s="24"/>
    </row>
    <row r="156" spans="2:18" ht="4.95" customHeight="1" x14ac:dyDescent="0.55000000000000004"/>
    <row r="157" spans="2:18" ht="34.950000000000003" customHeight="1" x14ac:dyDescent="0.55000000000000004">
      <c r="B157" s="64" t="s">
        <v>169</v>
      </c>
      <c r="C157" s="24"/>
      <c r="D157" s="24"/>
      <c r="E157" s="24"/>
      <c r="F157" s="24"/>
      <c r="G157" s="24"/>
      <c r="H157" s="24"/>
      <c r="I157" s="24"/>
      <c r="J157" s="24"/>
      <c r="K157" s="24"/>
      <c r="L157" s="24"/>
      <c r="M157" s="24"/>
      <c r="N157" s="24"/>
      <c r="O157" s="24"/>
      <c r="P157" s="24"/>
      <c r="Q157" s="24"/>
      <c r="R157" s="24"/>
    </row>
    <row r="158" spans="2:18" ht="36.65" customHeight="1" x14ac:dyDescent="0.55000000000000004">
      <c r="B158" s="107" t="s">
        <v>171</v>
      </c>
      <c r="C158" s="108"/>
      <c r="D158" s="108"/>
      <c r="E158" s="109"/>
      <c r="F158" s="110" t="s">
        <v>170</v>
      </c>
      <c r="G158" s="108"/>
      <c r="H158" s="108"/>
      <c r="I158" s="108"/>
      <c r="J158" s="109"/>
      <c r="K158" s="111" t="s">
        <v>173</v>
      </c>
      <c r="L158" s="112"/>
      <c r="M158" s="112"/>
      <c r="N158" s="113"/>
      <c r="O158" s="67" t="s">
        <v>172</v>
      </c>
      <c r="P158" s="24"/>
      <c r="Q158" s="24"/>
      <c r="R158" s="24"/>
    </row>
    <row r="159" spans="2:18" ht="34.950000000000003" customHeight="1" x14ac:dyDescent="0.55000000000000004">
      <c r="B159" s="114"/>
      <c r="C159" s="115"/>
      <c r="D159" s="115"/>
      <c r="E159" s="116"/>
      <c r="F159" s="117"/>
      <c r="G159" s="115"/>
      <c r="H159" s="115"/>
      <c r="I159" s="115"/>
      <c r="J159" s="116"/>
      <c r="K159" s="117"/>
      <c r="L159" s="115"/>
      <c r="M159" s="115"/>
      <c r="N159" s="118"/>
      <c r="O159" s="33"/>
      <c r="P159" s="24"/>
      <c r="Q159" s="24"/>
      <c r="R159" s="24"/>
    </row>
    <row r="160" spans="2:18" ht="4.95" customHeight="1" x14ac:dyDescent="0.55000000000000004"/>
    <row r="161" spans="2:18" ht="34.950000000000003" customHeight="1" x14ac:dyDescent="0.55000000000000004">
      <c r="B161" s="23" t="s">
        <v>174</v>
      </c>
      <c r="C161" s="24"/>
      <c r="D161" s="24"/>
      <c r="E161" s="24"/>
      <c r="F161" s="24"/>
      <c r="G161" s="24"/>
      <c r="H161" s="24"/>
      <c r="I161" s="24"/>
      <c r="J161" s="24"/>
      <c r="K161" s="24"/>
      <c r="L161" s="24"/>
      <c r="M161" s="24"/>
      <c r="N161" s="24"/>
      <c r="O161" s="24"/>
      <c r="P161" s="24"/>
      <c r="Q161" s="24"/>
      <c r="R161" s="24"/>
    </row>
    <row r="162" spans="2:18" ht="35.4" customHeight="1" x14ac:dyDescent="0.55000000000000004">
      <c r="B162" s="79" t="s">
        <v>176</v>
      </c>
      <c r="C162" s="28"/>
      <c r="D162" s="27" t="s">
        <v>175</v>
      </c>
      <c r="E162" s="26"/>
      <c r="F162" s="26"/>
      <c r="G162" s="28"/>
      <c r="H162" s="27" t="s">
        <v>177</v>
      </c>
      <c r="I162" s="26"/>
      <c r="J162" s="28"/>
      <c r="K162" s="27" t="s">
        <v>178</v>
      </c>
      <c r="L162" s="26"/>
      <c r="M162" s="28"/>
      <c r="N162" s="29" t="s">
        <v>179</v>
      </c>
      <c r="O162" s="26"/>
      <c r="P162" s="26"/>
      <c r="Q162" s="26"/>
      <c r="R162" s="26"/>
    </row>
    <row r="163" spans="2:18" ht="34.950000000000003" customHeight="1" x14ac:dyDescent="0.55000000000000004">
      <c r="B163" s="39"/>
      <c r="C163" s="31"/>
      <c r="D163" s="32"/>
      <c r="E163" s="24"/>
      <c r="F163" s="24"/>
      <c r="G163" s="31"/>
      <c r="H163" s="32"/>
      <c r="I163" s="24"/>
      <c r="J163" s="31"/>
      <c r="K163" s="32"/>
      <c r="L163" s="24"/>
      <c r="M163" s="31"/>
      <c r="N163" s="33"/>
      <c r="O163" s="24"/>
      <c r="P163" s="24"/>
      <c r="Q163" s="24"/>
      <c r="R163" s="24"/>
    </row>
    <row r="164" spans="2:18" ht="34.950000000000003" customHeight="1" x14ac:dyDescent="0.55000000000000004">
      <c r="B164" s="39"/>
      <c r="C164" s="31"/>
      <c r="D164" s="32"/>
      <c r="E164" s="24"/>
      <c r="F164" s="24"/>
      <c r="G164" s="31"/>
      <c r="H164" s="32"/>
      <c r="I164" s="24"/>
      <c r="J164" s="31"/>
      <c r="K164" s="32"/>
      <c r="L164" s="24"/>
      <c r="M164" s="31"/>
      <c r="N164" s="33"/>
      <c r="O164" s="24"/>
      <c r="P164" s="24"/>
      <c r="Q164" s="24"/>
      <c r="R164" s="24"/>
    </row>
    <row r="165" spans="2:18" ht="34.950000000000003" customHeight="1" x14ac:dyDescent="0.55000000000000004">
      <c r="B165" s="39"/>
      <c r="C165" s="31"/>
      <c r="D165" s="32"/>
      <c r="E165" s="24"/>
      <c r="F165" s="24"/>
      <c r="G165" s="31"/>
      <c r="H165" s="32"/>
      <c r="I165" s="24"/>
      <c r="J165" s="31"/>
      <c r="K165" s="32"/>
      <c r="L165" s="24"/>
      <c r="M165" s="31"/>
      <c r="N165" s="33"/>
      <c r="O165" s="24"/>
      <c r="P165" s="24"/>
      <c r="Q165" s="24"/>
      <c r="R165" s="24"/>
    </row>
    <row r="166" spans="2:18" ht="34.950000000000003" customHeight="1" x14ac:dyDescent="0.55000000000000004">
      <c r="B166" s="39"/>
      <c r="C166" s="31"/>
      <c r="D166" s="32"/>
      <c r="E166" s="24"/>
      <c r="F166" s="24"/>
      <c r="G166" s="31"/>
      <c r="H166" s="32"/>
      <c r="I166" s="24"/>
      <c r="J166" s="31"/>
      <c r="K166" s="32"/>
      <c r="L166" s="24"/>
      <c r="M166" s="31"/>
      <c r="N166" s="33"/>
      <c r="O166" s="24"/>
      <c r="P166" s="24"/>
      <c r="Q166" s="24"/>
      <c r="R166" s="24"/>
    </row>
    <row r="167" spans="2:18" ht="34.950000000000003" customHeight="1" x14ac:dyDescent="0.55000000000000004">
      <c r="B167" s="39"/>
      <c r="C167" s="31"/>
      <c r="D167" s="32"/>
      <c r="E167" s="24"/>
      <c r="F167" s="24"/>
      <c r="G167" s="31"/>
      <c r="H167" s="32"/>
      <c r="I167" s="24"/>
      <c r="J167" s="31"/>
      <c r="K167" s="32"/>
      <c r="L167" s="24"/>
      <c r="M167" s="31"/>
      <c r="N167" s="33"/>
      <c r="O167" s="24"/>
      <c r="P167" s="24"/>
      <c r="Q167" s="24"/>
      <c r="R167" s="24"/>
    </row>
    <row r="168" spans="2:18" ht="34.950000000000003" customHeight="1" x14ac:dyDescent="0.55000000000000004">
      <c r="B168" s="39"/>
      <c r="C168" s="31"/>
      <c r="D168" s="32"/>
      <c r="E168" s="24"/>
      <c r="F168" s="24"/>
      <c r="G168" s="31"/>
      <c r="H168" s="32"/>
      <c r="I168" s="24"/>
      <c r="J168" s="31"/>
      <c r="K168" s="32"/>
      <c r="L168" s="24"/>
      <c r="M168" s="31"/>
      <c r="N168" s="33"/>
      <c r="O168" s="24"/>
      <c r="P168" s="24"/>
      <c r="Q168" s="24"/>
      <c r="R168" s="24"/>
    </row>
    <row r="170" spans="2:18" ht="34.950000000000003" customHeight="1" x14ac:dyDescent="0.55000000000000004">
      <c r="B170" s="23" t="s">
        <v>180</v>
      </c>
      <c r="C170" s="24"/>
      <c r="D170" s="24"/>
      <c r="E170" s="24"/>
      <c r="F170" s="24"/>
      <c r="G170" s="24"/>
      <c r="H170" s="24"/>
      <c r="I170" s="24"/>
      <c r="J170" s="24"/>
      <c r="K170" s="24"/>
      <c r="L170" s="24"/>
      <c r="M170" s="24"/>
      <c r="N170" s="24"/>
      <c r="O170" s="24"/>
      <c r="P170" s="24"/>
      <c r="Q170" s="24"/>
      <c r="R170" s="24"/>
    </row>
    <row r="171" spans="2:18" ht="34.950000000000003" customHeight="1" x14ac:dyDescent="0.55000000000000004">
      <c r="B171" s="23" t="s">
        <v>181</v>
      </c>
      <c r="C171" s="24"/>
      <c r="D171" s="24"/>
      <c r="E171" s="24"/>
      <c r="F171" s="24"/>
      <c r="G171" s="24"/>
      <c r="H171" s="24"/>
      <c r="I171" s="24"/>
      <c r="J171" s="24"/>
      <c r="K171" s="24"/>
      <c r="L171" s="24"/>
      <c r="M171" s="24"/>
      <c r="N171" s="24"/>
      <c r="O171" s="24"/>
      <c r="P171" s="24"/>
      <c r="Q171" s="24"/>
      <c r="R171" s="24"/>
    </row>
    <row r="172" spans="2:18" ht="34.950000000000003" customHeight="1" x14ac:dyDescent="0.55000000000000004">
      <c r="B172" s="23" t="s">
        <v>182</v>
      </c>
      <c r="C172" s="24"/>
      <c r="D172" s="24"/>
      <c r="E172" s="24"/>
      <c r="F172" s="24"/>
      <c r="G172" s="24"/>
      <c r="H172" s="24"/>
      <c r="I172" s="24"/>
      <c r="J172" s="24"/>
      <c r="K172" s="24"/>
      <c r="L172" s="24"/>
      <c r="M172" s="24"/>
      <c r="N172" s="24"/>
      <c r="O172" s="24"/>
      <c r="P172" s="24"/>
      <c r="Q172" s="24"/>
      <c r="R172" s="24"/>
    </row>
    <row r="173" spans="2:18" ht="34.950000000000003" customHeight="1" x14ac:dyDescent="0.55000000000000004">
      <c r="B173" s="119" t="s">
        <v>183</v>
      </c>
      <c r="C173" s="26"/>
      <c r="D173" s="26"/>
      <c r="E173" s="26"/>
      <c r="F173" s="26"/>
      <c r="G173" s="26"/>
      <c r="H173" s="26"/>
      <c r="I173" s="26"/>
      <c r="J173" s="26"/>
      <c r="K173" s="26"/>
      <c r="L173" s="28"/>
      <c r="M173" s="120"/>
      <c r="N173" s="61"/>
      <c r="O173" s="61"/>
      <c r="P173" s="61"/>
      <c r="Q173" s="61"/>
      <c r="R173" s="61"/>
    </row>
    <row r="174" spans="2:18" ht="34.950000000000003" customHeight="1" x14ac:dyDescent="0.55000000000000004">
      <c r="B174" s="62" t="s">
        <v>184</v>
      </c>
      <c r="C174" s="24"/>
      <c r="D174" s="24"/>
      <c r="E174" s="24"/>
      <c r="F174" s="24"/>
      <c r="G174" s="24"/>
      <c r="H174" s="24"/>
      <c r="I174" s="24"/>
      <c r="J174" s="24"/>
      <c r="K174" s="24"/>
      <c r="L174" s="37"/>
      <c r="M174" s="121"/>
      <c r="N174" s="34"/>
      <c r="O174" s="34"/>
      <c r="P174" s="34"/>
      <c r="Q174" s="34"/>
      <c r="R174" s="34"/>
    </row>
    <row r="175" spans="2:18" ht="34.950000000000003" customHeight="1" x14ac:dyDescent="0.55000000000000004">
      <c r="B175" s="62" t="s">
        <v>185</v>
      </c>
      <c r="C175" s="24"/>
      <c r="D175" s="24"/>
      <c r="E175" s="24"/>
      <c r="F175" s="24"/>
      <c r="G175" s="24"/>
      <c r="H175" s="24"/>
      <c r="I175" s="24"/>
      <c r="J175" s="24"/>
      <c r="K175" s="24"/>
      <c r="L175" s="37"/>
      <c r="M175" s="121"/>
      <c r="N175" s="34"/>
      <c r="O175" s="34"/>
      <c r="P175" s="34"/>
      <c r="Q175" s="34"/>
      <c r="R175" s="34"/>
    </row>
    <row r="176" spans="2:18" ht="34.950000000000003" customHeight="1" x14ac:dyDescent="0.55000000000000004">
      <c r="B176" s="62" t="s">
        <v>186</v>
      </c>
      <c r="C176" s="24"/>
      <c r="D176" s="24"/>
      <c r="E176" s="24"/>
      <c r="F176" s="24"/>
      <c r="G176" s="24"/>
      <c r="H176" s="24"/>
      <c r="I176" s="24"/>
      <c r="J176" s="24"/>
      <c r="K176" s="24"/>
      <c r="L176" s="37"/>
      <c r="M176" s="121"/>
      <c r="N176" s="34"/>
      <c r="O176" s="34"/>
      <c r="P176" s="34"/>
      <c r="Q176" s="34"/>
      <c r="R176" s="34"/>
    </row>
    <row r="177" spans="2:18" ht="34.950000000000003" customHeight="1" x14ac:dyDescent="0.55000000000000004">
      <c r="B177" s="62" t="s">
        <v>187</v>
      </c>
      <c r="C177" s="24"/>
      <c r="D177" s="24"/>
      <c r="E177" s="24"/>
      <c r="F177" s="24"/>
      <c r="G177" s="24"/>
      <c r="H177" s="24"/>
      <c r="I177" s="24"/>
      <c r="J177" s="24"/>
      <c r="K177" s="24"/>
      <c r="L177" s="37"/>
      <c r="M177" s="67"/>
      <c r="N177" s="24"/>
      <c r="O177" s="24"/>
      <c r="P177" s="24"/>
      <c r="Q177" s="24"/>
      <c r="R177" s="24"/>
    </row>
    <row r="178" spans="2:18" ht="4.95" customHeight="1" x14ac:dyDescent="0.55000000000000004"/>
    <row r="179" spans="2:18" ht="34.950000000000003" customHeight="1" x14ac:dyDescent="0.55000000000000004">
      <c r="B179" s="122" t="s">
        <v>188</v>
      </c>
      <c r="C179" s="24"/>
      <c r="D179" s="24"/>
      <c r="E179" s="24"/>
      <c r="F179" s="24"/>
      <c r="G179" s="24"/>
      <c r="H179" s="24"/>
      <c r="I179" s="24"/>
      <c r="J179" s="24"/>
      <c r="K179" s="24"/>
      <c r="L179" s="31"/>
      <c r="M179" s="123" t="s">
        <v>189</v>
      </c>
      <c r="N179" s="24"/>
      <c r="O179" s="24"/>
      <c r="P179" s="124" t="s">
        <v>190</v>
      </c>
      <c r="Q179" s="24"/>
      <c r="R179" s="24"/>
    </row>
    <row r="180" spans="2:18" ht="34.950000000000003" customHeight="1" x14ac:dyDescent="0.55000000000000004">
      <c r="B180" s="68" t="s">
        <v>191</v>
      </c>
      <c r="C180" s="24"/>
      <c r="D180" s="24"/>
      <c r="E180" s="24"/>
      <c r="F180" s="24"/>
      <c r="G180" s="24"/>
      <c r="H180" s="24"/>
      <c r="I180" s="24"/>
      <c r="J180" s="24"/>
      <c r="K180" s="24"/>
      <c r="L180" s="31"/>
      <c r="M180" s="40"/>
      <c r="N180" s="24"/>
      <c r="O180" s="24"/>
      <c r="P180" s="67"/>
      <c r="Q180" s="24"/>
      <c r="R180" s="24"/>
    </row>
    <row r="181" spans="2:18" ht="34.950000000000003" customHeight="1" x14ac:dyDescent="0.55000000000000004">
      <c r="B181" s="68" t="s">
        <v>192</v>
      </c>
      <c r="C181" s="24"/>
      <c r="D181" s="24"/>
      <c r="E181" s="24"/>
      <c r="F181" s="24"/>
      <c r="G181" s="24"/>
      <c r="H181" s="24"/>
      <c r="I181" s="24"/>
      <c r="J181" s="24"/>
      <c r="K181" s="24"/>
      <c r="L181" s="31"/>
      <c r="M181" s="40"/>
      <c r="N181" s="24"/>
      <c r="O181" s="24"/>
      <c r="P181" s="67"/>
      <c r="Q181" s="24"/>
      <c r="R181" s="24"/>
    </row>
    <row r="182" spans="2:18" ht="34.950000000000003" customHeight="1" x14ac:dyDescent="0.55000000000000004">
      <c r="B182" s="68" t="s">
        <v>193</v>
      </c>
      <c r="C182" s="24"/>
      <c r="D182" s="24"/>
      <c r="E182" s="24"/>
      <c r="F182" s="24"/>
      <c r="G182" s="24"/>
      <c r="H182" s="24"/>
      <c r="I182" s="24"/>
      <c r="J182" s="24"/>
      <c r="K182" s="24"/>
      <c r="L182" s="31"/>
      <c r="M182" s="40"/>
      <c r="N182" s="24"/>
      <c r="O182" s="24"/>
      <c r="P182" s="67"/>
      <c r="Q182" s="24"/>
      <c r="R182" s="24"/>
    </row>
    <row r="183" spans="2:18" ht="34.950000000000003" customHeight="1" x14ac:dyDescent="0.55000000000000004">
      <c r="B183" s="68" t="s">
        <v>194</v>
      </c>
      <c r="C183" s="24"/>
      <c r="D183" s="24"/>
      <c r="E183" s="24"/>
      <c r="F183" s="24"/>
      <c r="G183" s="24"/>
      <c r="H183" s="24"/>
      <c r="I183" s="24"/>
      <c r="J183" s="24"/>
      <c r="K183" s="24"/>
      <c r="L183" s="31"/>
      <c r="M183" s="40"/>
      <c r="N183" s="24"/>
      <c r="O183" s="24"/>
      <c r="P183" s="67"/>
      <c r="Q183" s="24"/>
      <c r="R183" s="24"/>
    </row>
    <row r="184" spans="2:18" ht="34.950000000000003" customHeight="1" x14ac:dyDescent="0.55000000000000004">
      <c r="B184" s="68" t="s">
        <v>195</v>
      </c>
      <c r="C184" s="24"/>
      <c r="D184" s="24"/>
      <c r="E184" s="24"/>
      <c r="F184" s="24"/>
      <c r="G184" s="24"/>
      <c r="H184" s="24"/>
      <c r="I184" s="24"/>
      <c r="J184" s="24"/>
      <c r="K184" s="24"/>
      <c r="L184" s="31"/>
      <c r="M184" s="40"/>
      <c r="N184" s="24"/>
      <c r="O184" s="24"/>
      <c r="P184" s="67"/>
      <c r="Q184" s="24"/>
      <c r="R184" s="24"/>
    </row>
    <row r="185" spans="2:18" ht="4.95" customHeight="1" x14ac:dyDescent="0.55000000000000004"/>
    <row r="186" spans="2:18" ht="34.950000000000003" customHeight="1" x14ac:dyDescent="0.55000000000000004">
      <c r="B186" s="122" t="s">
        <v>196</v>
      </c>
      <c r="C186" s="24"/>
      <c r="D186" s="24"/>
      <c r="E186" s="24"/>
      <c r="F186" s="24"/>
      <c r="G186" s="24"/>
      <c r="H186" s="24"/>
      <c r="I186" s="24"/>
      <c r="J186" s="24"/>
      <c r="K186" s="24"/>
      <c r="L186" s="31"/>
      <c r="M186" s="123" t="s">
        <v>197</v>
      </c>
      <c r="N186" s="24"/>
      <c r="O186" s="37"/>
      <c r="P186" s="99" t="s">
        <v>198</v>
      </c>
      <c r="Q186" s="34"/>
      <c r="R186" s="34"/>
    </row>
    <row r="187" spans="2:18" ht="34.950000000000003" customHeight="1" x14ac:dyDescent="0.55000000000000004">
      <c r="B187" s="68" t="s">
        <v>199</v>
      </c>
      <c r="C187" s="24"/>
      <c r="D187" s="24"/>
      <c r="E187" s="24"/>
      <c r="F187" s="24"/>
      <c r="G187" s="24"/>
      <c r="H187" s="24"/>
      <c r="I187" s="24"/>
      <c r="J187" s="24"/>
      <c r="K187" s="24"/>
      <c r="L187" s="31"/>
      <c r="M187" s="40"/>
      <c r="N187" s="24"/>
      <c r="O187" s="37"/>
      <c r="P187" s="64"/>
      <c r="Q187" s="24"/>
      <c r="R187" s="24"/>
    </row>
    <row r="189" spans="2:18" ht="30" customHeight="1" x14ac:dyDescent="0.55000000000000004">
      <c r="B189" s="23" t="s">
        <v>200</v>
      </c>
      <c r="C189" s="24"/>
      <c r="D189" s="24"/>
      <c r="E189" s="24"/>
      <c r="F189" s="24"/>
      <c r="G189" s="24"/>
      <c r="H189" s="24"/>
      <c r="I189" s="24"/>
      <c r="J189" s="24"/>
      <c r="K189" s="24"/>
      <c r="L189" s="24"/>
      <c r="M189" s="24"/>
      <c r="N189" s="24"/>
      <c r="O189" s="24"/>
      <c r="P189" s="24"/>
      <c r="Q189" s="24"/>
      <c r="R189" s="24"/>
    </row>
    <row r="190" spans="2:18" ht="30" customHeight="1" x14ac:dyDescent="0.55000000000000004">
      <c r="B190" s="62" t="s">
        <v>201</v>
      </c>
      <c r="C190" s="24"/>
      <c r="D190" s="24"/>
      <c r="E190" s="24"/>
      <c r="F190" s="24"/>
      <c r="G190" s="24"/>
      <c r="H190" s="24"/>
      <c r="I190" s="24"/>
      <c r="J190" s="24"/>
      <c r="K190" s="24"/>
      <c r="L190" s="24"/>
      <c r="M190" s="24"/>
      <c r="N190" s="37"/>
      <c r="O190" s="33"/>
      <c r="P190" s="24"/>
      <c r="Q190" s="24"/>
      <c r="R190" s="24"/>
    </row>
    <row r="191" spans="2:18" ht="30" customHeight="1" x14ac:dyDescent="0.55000000000000004">
      <c r="B191" s="62" t="s">
        <v>202</v>
      </c>
      <c r="C191" s="24"/>
      <c r="D191" s="24"/>
      <c r="E191" s="24"/>
      <c r="F191" s="24"/>
      <c r="G191" s="24"/>
      <c r="H191" s="24"/>
      <c r="I191" s="24"/>
      <c r="J191" s="24"/>
      <c r="K191" s="24"/>
      <c r="L191" s="24"/>
      <c r="M191" s="24"/>
      <c r="N191" s="37"/>
      <c r="O191" s="33"/>
      <c r="P191" s="24"/>
      <c r="Q191" s="24"/>
      <c r="R191" s="24"/>
    </row>
    <row r="192" spans="2:18" ht="30" customHeight="1" x14ac:dyDescent="0.55000000000000004">
      <c r="B192" s="62" t="s">
        <v>203</v>
      </c>
      <c r="C192" s="24"/>
      <c r="D192" s="24"/>
      <c r="E192" s="24"/>
      <c r="F192" s="24"/>
      <c r="G192" s="24"/>
      <c r="H192" s="24"/>
      <c r="I192" s="24"/>
      <c r="J192" s="24"/>
      <c r="K192" s="24"/>
      <c r="L192" s="24"/>
      <c r="M192" s="24"/>
      <c r="N192" s="37"/>
      <c r="O192" s="33"/>
      <c r="P192" s="24"/>
      <c r="Q192" s="24"/>
      <c r="R192" s="24"/>
    </row>
    <row r="193" spans="2:18" ht="30" customHeight="1" x14ac:dyDescent="0.55000000000000004">
      <c r="B193" s="62" t="s">
        <v>204</v>
      </c>
      <c r="C193" s="24"/>
      <c r="D193" s="24"/>
      <c r="E193" s="24"/>
      <c r="F193" s="24"/>
      <c r="G193" s="24"/>
      <c r="H193" s="24"/>
      <c r="I193" s="24"/>
      <c r="J193" s="24"/>
      <c r="K193" s="24"/>
      <c r="L193" s="24"/>
      <c r="M193" s="24"/>
      <c r="N193" s="37"/>
      <c r="O193" s="33"/>
      <c r="P193" s="24"/>
      <c r="Q193" s="24"/>
      <c r="R193" s="24"/>
    </row>
    <row r="194" spans="2:18" ht="30" customHeight="1" x14ac:dyDescent="0.55000000000000004">
      <c r="B194" s="62" t="s">
        <v>205</v>
      </c>
      <c r="C194" s="24"/>
      <c r="D194" s="24"/>
      <c r="E194" s="24"/>
      <c r="F194" s="24"/>
      <c r="G194" s="24"/>
      <c r="H194" s="24"/>
      <c r="I194" s="24"/>
      <c r="J194" s="24"/>
      <c r="K194" s="24"/>
      <c r="L194" s="24"/>
      <c r="M194" s="24"/>
      <c r="N194" s="37"/>
      <c r="O194" s="33">
        <f>O191+O192-O193</f>
        <v>0</v>
      </c>
      <c r="P194" s="24"/>
      <c r="Q194" s="24"/>
      <c r="R194" s="24"/>
    </row>
    <row r="195" spans="2:18" ht="4.95" customHeight="1" x14ac:dyDescent="0.55000000000000004"/>
    <row r="196" spans="2:18" ht="30" customHeight="1" x14ac:dyDescent="0.55000000000000004">
      <c r="B196" s="23" t="s">
        <v>206</v>
      </c>
      <c r="C196" s="24"/>
      <c r="D196" s="24"/>
      <c r="E196" s="24"/>
      <c r="F196" s="24"/>
      <c r="G196" s="24"/>
      <c r="H196" s="24"/>
      <c r="I196" s="24"/>
      <c r="J196" s="24"/>
      <c r="K196" s="24"/>
      <c r="L196" s="24"/>
      <c r="M196" s="24"/>
      <c r="N196" s="24"/>
      <c r="O196" s="24"/>
      <c r="P196" s="24"/>
      <c r="Q196" s="24"/>
      <c r="R196" s="24"/>
    </row>
    <row r="197" spans="2:18" ht="30" customHeight="1" x14ac:dyDescent="0.55000000000000004">
      <c r="B197" s="62" t="s">
        <v>207</v>
      </c>
      <c r="C197" s="24"/>
      <c r="D197" s="24"/>
      <c r="E197" s="24"/>
      <c r="F197" s="24"/>
      <c r="G197" s="24"/>
      <c r="H197" s="24"/>
      <c r="I197" s="24"/>
      <c r="J197" s="24"/>
      <c r="K197" s="24"/>
      <c r="L197" s="24"/>
      <c r="M197" s="24"/>
      <c r="N197" s="37"/>
      <c r="O197" s="67" t="s">
        <v>311</v>
      </c>
      <c r="P197" s="24"/>
      <c r="Q197" s="24"/>
      <c r="R197" s="24"/>
    </row>
    <row r="198" spans="2:18" ht="4.95" customHeight="1" x14ac:dyDescent="0.55000000000000004"/>
    <row r="199" spans="2:18" ht="30" customHeight="1" x14ac:dyDescent="0.55000000000000004">
      <c r="B199" s="23" t="s">
        <v>208</v>
      </c>
      <c r="C199" s="24"/>
      <c r="D199" s="24"/>
      <c r="E199" s="24"/>
      <c r="F199" s="24"/>
      <c r="G199" s="24"/>
      <c r="H199" s="24"/>
      <c r="I199" s="24"/>
      <c r="J199" s="24"/>
      <c r="K199" s="24"/>
      <c r="L199" s="24"/>
      <c r="M199" s="24"/>
      <c r="N199" s="24"/>
      <c r="O199" s="24"/>
      <c r="P199" s="24"/>
      <c r="Q199" s="24"/>
      <c r="R199" s="24"/>
    </row>
    <row r="200" spans="2:18" ht="30" customHeight="1" x14ac:dyDescent="0.55000000000000004">
      <c r="B200" s="79" t="s">
        <v>209</v>
      </c>
      <c r="C200" s="27" t="s">
        <v>210</v>
      </c>
      <c r="D200" s="61"/>
      <c r="E200" s="94"/>
      <c r="F200" s="50" t="s">
        <v>211</v>
      </c>
      <c r="G200" s="26"/>
      <c r="H200" s="26"/>
      <c r="I200" s="26"/>
      <c r="J200" s="26"/>
      <c r="K200" s="26"/>
      <c r="L200" s="26"/>
      <c r="M200" s="26"/>
      <c r="N200" s="26"/>
      <c r="O200" s="28"/>
      <c r="P200" s="29" t="s">
        <v>212</v>
      </c>
      <c r="Q200" s="61"/>
      <c r="R200" s="61"/>
    </row>
    <row r="201" spans="2:18" ht="30" customHeight="1" x14ac:dyDescent="0.55000000000000004">
      <c r="B201" s="28"/>
      <c r="C201" s="57"/>
      <c r="D201" s="26"/>
      <c r="E201" s="28"/>
      <c r="F201" s="105" t="s">
        <v>213</v>
      </c>
      <c r="G201" s="24"/>
      <c r="H201" s="31"/>
      <c r="I201" s="105" t="s">
        <v>214</v>
      </c>
      <c r="J201" s="31"/>
      <c r="K201" s="105" t="s">
        <v>159</v>
      </c>
      <c r="L201" s="31"/>
      <c r="M201" s="67" t="s">
        <v>158</v>
      </c>
      <c r="N201" s="24"/>
      <c r="O201" s="24"/>
      <c r="P201" s="57"/>
      <c r="Q201" s="26"/>
      <c r="R201" s="26"/>
    </row>
    <row r="202" spans="2:18" ht="30" customHeight="1" x14ac:dyDescent="0.55000000000000004">
      <c r="B202" s="3" t="s">
        <v>215</v>
      </c>
      <c r="C202" s="30"/>
      <c r="D202" s="24"/>
      <c r="E202" s="31"/>
      <c r="F202" s="32"/>
      <c r="G202" s="24"/>
      <c r="H202" s="31"/>
      <c r="I202" s="32"/>
      <c r="J202" s="31"/>
      <c r="K202" s="32"/>
      <c r="L202" s="31"/>
      <c r="M202" s="33"/>
      <c r="N202" s="24"/>
      <c r="O202" s="24"/>
      <c r="P202" s="33"/>
      <c r="Q202" s="24"/>
      <c r="R202" s="24"/>
    </row>
    <row r="203" spans="2:18" ht="30" customHeight="1" x14ac:dyDescent="0.55000000000000004">
      <c r="B203" s="3" t="s">
        <v>216</v>
      </c>
      <c r="C203" s="30"/>
      <c r="D203" s="24"/>
      <c r="E203" s="31"/>
      <c r="F203" s="105" t="s">
        <v>217</v>
      </c>
      <c r="G203" s="24"/>
      <c r="H203" s="31"/>
      <c r="I203" s="32"/>
      <c r="J203" s="31"/>
      <c r="K203" s="32"/>
      <c r="L203" s="31"/>
      <c r="M203" s="33"/>
      <c r="N203" s="24"/>
      <c r="O203" s="24"/>
      <c r="P203" s="33"/>
      <c r="Q203" s="24"/>
      <c r="R203" s="24"/>
    </row>
    <row r="204" spans="2:18" ht="30" customHeight="1" x14ac:dyDescent="0.55000000000000004">
      <c r="B204" s="3" t="s">
        <v>218</v>
      </c>
      <c r="C204" s="30"/>
      <c r="D204" s="24"/>
      <c r="E204" s="31"/>
      <c r="F204" s="105" t="s">
        <v>217</v>
      </c>
      <c r="G204" s="24"/>
      <c r="H204" s="31"/>
      <c r="I204" s="105" t="s">
        <v>217</v>
      </c>
      <c r="J204" s="31"/>
      <c r="K204" s="32"/>
      <c r="L204" s="31"/>
      <c r="M204" s="33"/>
      <c r="N204" s="24"/>
      <c r="O204" s="24"/>
      <c r="P204" s="33"/>
      <c r="Q204" s="24"/>
      <c r="R204" s="24"/>
    </row>
    <row r="205" spans="2:18" ht="30" customHeight="1" x14ac:dyDescent="0.55000000000000004">
      <c r="B205" s="3" t="s">
        <v>219</v>
      </c>
      <c r="C205" s="30"/>
      <c r="D205" s="24"/>
      <c r="E205" s="31"/>
      <c r="F205" s="105" t="s">
        <v>217</v>
      </c>
      <c r="G205" s="24"/>
      <c r="H205" s="31"/>
      <c r="I205" s="105" t="s">
        <v>217</v>
      </c>
      <c r="J205" s="31"/>
      <c r="K205" s="105" t="s">
        <v>217</v>
      </c>
      <c r="L205" s="31"/>
      <c r="M205" s="33"/>
      <c r="N205" s="24"/>
      <c r="O205" s="24"/>
      <c r="P205" s="33"/>
      <c r="Q205" s="24"/>
      <c r="R205" s="24"/>
    </row>
    <row r="206" spans="2:18" ht="30" customHeight="1" x14ac:dyDescent="0.55000000000000004">
      <c r="B206" s="3" t="s">
        <v>158</v>
      </c>
      <c r="C206" s="30"/>
      <c r="D206" s="24"/>
      <c r="E206" s="31"/>
      <c r="F206" s="105" t="s">
        <v>217</v>
      </c>
      <c r="G206" s="24"/>
      <c r="H206" s="31"/>
      <c r="I206" s="105" t="s">
        <v>217</v>
      </c>
      <c r="J206" s="31"/>
      <c r="K206" s="105" t="s">
        <v>217</v>
      </c>
      <c r="L206" s="31"/>
      <c r="M206" s="67" t="s">
        <v>217</v>
      </c>
      <c r="N206" s="24"/>
      <c r="O206" s="24"/>
      <c r="P206" s="125" t="s">
        <v>217</v>
      </c>
      <c r="Q206" s="24"/>
      <c r="R206" s="24"/>
    </row>
    <row r="207" spans="2:18" ht="4.95" customHeight="1" x14ac:dyDescent="0.55000000000000004"/>
    <row r="208" spans="2:18" ht="30" customHeight="1" x14ac:dyDescent="0.55000000000000004">
      <c r="B208" s="23" t="s">
        <v>220</v>
      </c>
      <c r="C208" s="24"/>
      <c r="D208" s="24"/>
      <c r="E208" s="24"/>
      <c r="F208" s="24"/>
      <c r="G208" s="24"/>
      <c r="H208" s="24"/>
      <c r="I208" s="24"/>
      <c r="J208" s="24"/>
      <c r="K208" s="24"/>
      <c r="L208" s="24"/>
      <c r="M208" s="24"/>
      <c r="N208" s="24"/>
      <c r="O208" s="24"/>
      <c r="P208" s="24"/>
      <c r="Q208" s="24"/>
      <c r="R208" s="24"/>
    </row>
    <row r="209" spans="2:18" ht="30" customHeight="1" x14ac:dyDescent="0.55000000000000004">
      <c r="B209" s="79" t="s">
        <v>221</v>
      </c>
      <c r="C209" s="26"/>
      <c r="D209" s="26"/>
      <c r="E209" s="26"/>
      <c r="F209" s="28"/>
      <c r="G209" s="105" t="s">
        <v>222</v>
      </c>
      <c r="H209" s="24"/>
      <c r="I209" s="24"/>
      <c r="J209" s="24"/>
      <c r="K209" s="24"/>
      <c r="L209" s="37"/>
      <c r="M209" s="67" t="s">
        <v>223</v>
      </c>
      <c r="N209" s="24"/>
      <c r="O209" s="24"/>
      <c r="P209" s="24"/>
      <c r="Q209" s="24"/>
      <c r="R209" s="24"/>
    </row>
    <row r="210" spans="2:18" ht="30" customHeight="1" x14ac:dyDescent="0.55000000000000004">
      <c r="B210" s="30"/>
      <c r="C210" s="24"/>
      <c r="D210" s="24"/>
      <c r="E210" s="24"/>
      <c r="F210" s="31"/>
      <c r="G210" s="32"/>
      <c r="H210" s="24"/>
      <c r="I210" s="24"/>
      <c r="J210" s="24"/>
      <c r="K210" s="24"/>
      <c r="L210" s="37"/>
      <c r="M210" s="81"/>
      <c r="N210" s="24"/>
      <c r="O210" s="24"/>
      <c r="P210" s="24"/>
      <c r="Q210" s="24"/>
      <c r="R210" s="24"/>
    </row>
    <row r="212" spans="2:18" ht="30" customHeight="1" x14ac:dyDescent="0.55000000000000004">
      <c r="B212" s="23" t="s">
        <v>321</v>
      </c>
      <c r="C212" s="24"/>
      <c r="D212" s="24"/>
      <c r="E212" s="24"/>
      <c r="F212" s="24"/>
      <c r="G212" s="24"/>
      <c r="H212" s="24"/>
      <c r="I212" s="24"/>
      <c r="J212" s="24"/>
      <c r="K212" s="24"/>
      <c r="L212" s="24"/>
      <c r="M212" s="24"/>
      <c r="N212" s="24"/>
      <c r="O212" s="24"/>
      <c r="P212" s="24"/>
      <c r="Q212" s="24"/>
      <c r="R212" s="24"/>
    </row>
    <row r="213" spans="2:18" ht="30" customHeight="1" x14ac:dyDescent="0.55000000000000004">
      <c r="B213" s="49" t="s">
        <v>224</v>
      </c>
      <c r="C213" s="34"/>
      <c r="D213" s="34"/>
      <c r="E213" s="34"/>
      <c r="F213" s="34"/>
      <c r="G213" s="34"/>
      <c r="H213" s="34"/>
      <c r="I213" s="34"/>
      <c r="J213" s="34"/>
      <c r="K213" s="34"/>
      <c r="L213" s="34"/>
      <c r="M213" s="34"/>
      <c r="N213" s="34"/>
      <c r="O213" s="34"/>
      <c r="P213" s="34"/>
      <c r="Q213" s="34"/>
      <c r="R213" s="34"/>
    </row>
    <row r="214" spans="2:18" ht="30" customHeight="1" x14ac:dyDescent="0.55000000000000004">
      <c r="B214" s="100" t="s">
        <v>225</v>
      </c>
      <c r="C214" s="34"/>
      <c r="D214" s="34"/>
      <c r="E214" s="34"/>
      <c r="F214" s="34"/>
      <c r="G214" s="34"/>
      <c r="H214" s="34"/>
      <c r="I214" s="34"/>
      <c r="J214" s="34"/>
      <c r="K214" s="34"/>
      <c r="L214" s="34"/>
      <c r="M214" s="71"/>
      <c r="N214" s="96"/>
      <c r="O214" s="34"/>
      <c r="P214" s="34"/>
      <c r="Q214" s="34"/>
      <c r="R214" s="34"/>
    </row>
    <row r="215" spans="2:18" ht="30" customHeight="1" x14ac:dyDescent="0.55000000000000004">
      <c r="B215" s="100" t="s">
        <v>226</v>
      </c>
      <c r="C215" s="34"/>
      <c r="D215" s="34"/>
      <c r="E215" s="34"/>
      <c r="F215" s="34"/>
      <c r="G215" s="34"/>
      <c r="H215" s="34"/>
      <c r="I215" s="34"/>
      <c r="J215" s="34"/>
      <c r="K215" s="34"/>
      <c r="L215" s="34"/>
      <c r="M215" s="71"/>
      <c r="N215" s="96">
        <f>N214*0.5</f>
        <v>0</v>
      </c>
      <c r="O215" s="34"/>
      <c r="P215" s="34"/>
      <c r="Q215" s="34"/>
      <c r="R215" s="34"/>
    </row>
    <row r="216" spans="2:18" ht="30" customHeight="1" x14ac:dyDescent="0.55000000000000004">
      <c r="B216" s="100" t="s">
        <v>227</v>
      </c>
      <c r="C216" s="34"/>
      <c r="D216" s="34"/>
      <c r="E216" s="34"/>
      <c r="F216" s="34"/>
      <c r="G216" s="34"/>
      <c r="H216" s="34"/>
      <c r="I216" s="34"/>
      <c r="J216" s="34"/>
      <c r="K216" s="34"/>
      <c r="L216" s="34"/>
      <c r="M216" s="71"/>
      <c r="N216" s="96"/>
      <c r="O216" s="34"/>
      <c r="P216" s="34"/>
      <c r="Q216" s="34"/>
      <c r="R216" s="34"/>
    </row>
    <row r="217" spans="2:18" ht="30" customHeight="1" x14ac:dyDescent="0.55000000000000004">
      <c r="B217" s="85" t="s">
        <v>228</v>
      </c>
      <c r="C217" s="24"/>
      <c r="D217" s="24"/>
      <c r="E217" s="24"/>
      <c r="F217" s="24"/>
      <c r="G217" s="24"/>
      <c r="H217" s="24"/>
      <c r="I217" s="24"/>
      <c r="J217" s="24"/>
      <c r="K217" s="24"/>
      <c r="L217" s="24"/>
      <c r="M217" s="37"/>
      <c r="N217" s="63">
        <f>N216-N215</f>
        <v>0</v>
      </c>
      <c r="O217" s="24"/>
      <c r="P217" s="24"/>
      <c r="Q217" s="24"/>
      <c r="R217" s="24"/>
    </row>
    <row r="219" spans="2:18" ht="30" customHeight="1" x14ac:dyDescent="0.55000000000000004">
      <c r="B219" s="23" t="s">
        <v>229</v>
      </c>
      <c r="C219" s="24"/>
      <c r="D219" s="24"/>
      <c r="E219" s="24"/>
      <c r="F219" s="24"/>
      <c r="G219" s="24"/>
      <c r="H219" s="24"/>
      <c r="I219" s="24"/>
      <c r="J219" s="24"/>
      <c r="K219" s="24"/>
      <c r="L219" s="24"/>
      <c r="M219" s="24"/>
      <c r="N219" s="24"/>
      <c r="O219" s="24"/>
      <c r="P219" s="24"/>
      <c r="Q219" s="24"/>
      <c r="R219" s="24"/>
    </row>
    <row r="220" spans="2:18" ht="30" customHeight="1" x14ac:dyDescent="0.55000000000000004">
      <c r="B220" s="25" t="s">
        <v>230</v>
      </c>
      <c r="C220" s="26"/>
      <c r="D220" s="26"/>
      <c r="E220" s="26"/>
      <c r="F220" s="26"/>
      <c r="G220" s="26"/>
      <c r="H220" s="26"/>
      <c r="I220" s="26"/>
      <c r="J220" s="26"/>
      <c r="K220" s="26"/>
      <c r="L220" s="26"/>
      <c r="M220" s="26"/>
      <c r="N220" s="26"/>
      <c r="O220" s="26"/>
      <c r="P220" s="26"/>
      <c r="Q220" s="26"/>
      <c r="R220" s="26"/>
    </row>
    <row r="221" spans="2:18" ht="30" customHeight="1" x14ac:dyDescent="0.55000000000000004">
      <c r="B221" s="8" t="s">
        <v>231</v>
      </c>
      <c r="C221" s="27" t="s">
        <v>232</v>
      </c>
      <c r="D221" s="26"/>
      <c r="E221" s="28"/>
      <c r="F221" s="27" t="s">
        <v>233</v>
      </c>
      <c r="G221" s="26"/>
      <c r="H221" s="28"/>
      <c r="I221" s="27" t="s">
        <v>234</v>
      </c>
      <c r="J221" s="26"/>
      <c r="K221" s="28"/>
      <c r="L221" s="29" t="s">
        <v>235</v>
      </c>
      <c r="M221" s="26"/>
      <c r="N221" s="26"/>
      <c r="O221" s="26"/>
      <c r="P221" s="29" t="s">
        <v>236</v>
      </c>
      <c r="Q221" s="26"/>
      <c r="R221" s="26"/>
    </row>
    <row r="222" spans="2:18" ht="30" customHeight="1" x14ac:dyDescent="0.55000000000000004">
      <c r="B222" s="9"/>
      <c r="C222" s="30">
        <f>N228</f>
        <v>0</v>
      </c>
      <c r="D222" s="24"/>
      <c r="E222" s="31"/>
      <c r="F222" s="32"/>
      <c r="G222" s="24"/>
      <c r="H222" s="31"/>
      <c r="I222" s="32">
        <f>Q241+M248</f>
        <v>0</v>
      </c>
      <c r="J222" s="24"/>
      <c r="K222" s="31"/>
      <c r="L222" s="33">
        <f>K252</f>
        <v>0</v>
      </c>
      <c r="M222" s="24"/>
      <c r="N222" s="24"/>
      <c r="O222" s="24"/>
      <c r="P222" s="33"/>
      <c r="Q222" s="24"/>
      <c r="R222" s="24"/>
    </row>
    <row r="223" spans="2:18" ht="4.95" customHeight="1" x14ac:dyDescent="0.55000000000000004"/>
    <row r="224" spans="2:18" ht="30" customHeight="1" x14ac:dyDescent="0.55000000000000004">
      <c r="B224" s="23" t="s">
        <v>237</v>
      </c>
      <c r="C224" s="24"/>
      <c r="D224" s="24"/>
      <c r="E224" s="24"/>
      <c r="F224" s="24"/>
      <c r="G224" s="24"/>
      <c r="H224" s="24"/>
      <c r="I224" s="24"/>
      <c r="J224" s="24"/>
      <c r="K224" s="24"/>
      <c r="L224" s="24"/>
      <c r="M224" s="24"/>
      <c r="N224" s="24"/>
      <c r="O224" s="24"/>
      <c r="P224" s="24"/>
      <c r="Q224" s="24"/>
      <c r="R224" s="24"/>
    </row>
    <row r="225" spans="2:18" ht="30" customHeight="1" x14ac:dyDescent="0.55000000000000004">
      <c r="B225" s="23" t="s">
        <v>238</v>
      </c>
      <c r="C225" s="24"/>
      <c r="D225" s="24"/>
      <c r="E225" s="24"/>
      <c r="F225" s="24"/>
      <c r="G225" s="24"/>
      <c r="H225" s="24"/>
      <c r="I225" s="24"/>
      <c r="J225" s="24"/>
      <c r="K225" s="24"/>
      <c r="L225" s="24"/>
      <c r="M225" s="24"/>
      <c r="N225" s="34"/>
      <c r="O225" s="34"/>
      <c r="P225" s="34"/>
      <c r="Q225" s="34"/>
      <c r="R225" s="34"/>
    </row>
    <row r="226" spans="2:18" ht="30" customHeight="1" x14ac:dyDescent="0.55000000000000004">
      <c r="B226" s="35" t="s">
        <v>239</v>
      </c>
      <c r="C226" s="26"/>
      <c r="D226" s="26"/>
      <c r="E226" s="26"/>
      <c r="F226" s="26"/>
      <c r="G226" s="28"/>
      <c r="H226" s="36" t="s">
        <v>240</v>
      </c>
      <c r="I226" s="24"/>
      <c r="J226" s="24"/>
      <c r="K226" s="24"/>
      <c r="L226" s="24"/>
      <c r="M226" s="37"/>
      <c r="N226" s="38" t="s">
        <v>112</v>
      </c>
      <c r="O226" s="24"/>
      <c r="P226" s="24"/>
      <c r="Q226" s="24"/>
      <c r="R226" s="24"/>
    </row>
    <row r="227" spans="2:18" ht="42" customHeight="1" x14ac:dyDescent="0.55000000000000004">
      <c r="B227" s="39" t="s">
        <v>241</v>
      </c>
      <c r="C227" s="31"/>
      <c r="D227" s="40" t="s">
        <v>242</v>
      </c>
      <c r="E227" s="24"/>
      <c r="F227" s="24"/>
      <c r="G227" s="31"/>
      <c r="H227" s="40" t="s">
        <v>243</v>
      </c>
      <c r="I227" s="24"/>
      <c r="J227" s="31"/>
      <c r="K227" s="40" t="s">
        <v>244</v>
      </c>
      <c r="L227" s="24"/>
      <c r="M227" s="31"/>
      <c r="N227" s="29" t="s">
        <v>245</v>
      </c>
      <c r="O227" s="26"/>
      <c r="P227" s="26"/>
      <c r="Q227" s="26"/>
      <c r="R227" s="26"/>
    </row>
    <row r="228" spans="2:18" ht="30" customHeight="1" x14ac:dyDescent="0.55000000000000004">
      <c r="B228" s="30"/>
      <c r="C228" s="31"/>
      <c r="D228" s="41"/>
      <c r="E228" s="42"/>
      <c r="F228" s="42"/>
      <c r="G228" s="43"/>
      <c r="H228" s="32"/>
      <c r="I228" s="24"/>
      <c r="J228" s="31"/>
      <c r="K228" s="41"/>
      <c r="L228" s="24"/>
      <c r="M228" s="31"/>
      <c r="N228" s="33"/>
      <c r="O228" s="24"/>
      <c r="P228" s="24"/>
      <c r="Q228" s="24"/>
      <c r="R228" s="24"/>
    </row>
    <row r="229" spans="2:18" ht="4.95" customHeight="1" x14ac:dyDescent="0.55000000000000004"/>
    <row r="230" spans="2:18" ht="30" customHeight="1" x14ac:dyDescent="0.55000000000000004">
      <c r="B230" s="23" t="s">
        <v>246</v>
      </c>
      <c r="C230" s="24"/>
      <c r="D230" s="24"/>
      <c r="E230" s="24"/>
      <c r="F230" s="24"/>
      <c r="G230" s="24"/>
      <c r="H230" s="24"/>
      <c r="I230" s="24"/>
      <c r="J230" s="24"/>
      <c r="K230" s="24"/>
      <c r="L230" s="24"/>
      <c r="M230" s="24"/>
      <c r="N230" s="24"/>
      <c r="O230" s="24"/>
      <c r="P230" s="24"/>
      <c r="Q230" s="24"/>
      <c r="R230" s="24"/>
    </row>
    <row r="231" spans="2:18" ht="30" customHeight="1" x14ac:dyDescent="0.55000000000000004">
      <c r="B231" s="44" t="s">
        <v>247</v>
      </c>
      <c r="C231" s="28"/>
      <c r="D231" s="27" t="s">
        <v>248</v>
      </c>
      <c r="E231" s="26"/>
      <c r="F231" s="26"/>
      <c r="G231" s="28"/>
      <c r="H231" s="27" t="s">
        <v>249</v>
      </c>
      <c r="I231" s="26"/>
      <c r="J231" s="28"/>
      <c r="K231" s="27" t="s">
        <v>250</v>
      </c>
      <c r="L231" s="26"/>
      <c r="M231" s="28"/>
      <c r="N231" s="29" t="s">
        <v>251</v>
      </c>
      <c r="O231" s="26"/>
      <c r="P231" s="26"/>
      <c r="Q231" s="26"/>
      <c r="R231" s="26"/>
    </row>
    <row r="232" spans="2:18" ht="30" customHeight="1" x14ac:dyDescent="0.55000000000000004">
      <c r="B232" s="30"/>
      <c r="C232" s="31"/>
      <c r="D232" s="45"/>
      <c r="E232" s="46"/>
      <c r="F232" s="46"/>
      <c r="G232" s="47"/>
      <c r="H232" s="48"/>
      <c r="I232" s="24"/>
      <c r="J232" s="31"/>
      <c r="K232" s="32"/>
      <c r="L232" s="24"/>
      <c r="M232" s="31"/>
      <c r="N232" s="33"/>
      <c r="O232" s="24"/>
      <c r="P232" s="24"/>
      <c r="Q232" s="24"/>
      <c r="R232" s="24"/>
    </row>
    <row r="233" spans="2:18" ht="4.95" customHeight="1" x14ac:dyDescent="0.55000000000000004"/>
    <row r="234" spans="2:18" ht="30" customHeight="1" x14ac:dyDescent="0.55000000000000004">
      <c r="B234" s="23" t="s">
        <v>252</v>
      </c>
      <c r="C234" s="24"/>
      <c r="D234" s="24"/>
      <c r="E234" s="24"/>
      <c r="F234" s="24"/>
      <c r="G234" s="24"/>
      <c r="H234" s="24"/>
      <c r="I234" s="24"/>
      <c r="J234" s="24"/>
      <c r="K234" s="24"/>
      <c r="L234" s="24"/>
      <c r="M234" s="24"/>
      <c r="N234" s="24"/>
      <c r="O234" s="24"/>
      <c r="P234" s="24"/>
      <c r="Q234" s="24"/>
      <c r="R234" s="24"/>
    </row>
    <row r="235" spans="2:18" ht="67.849999999999994" customHeight="1" x14ac:dyDescent="0.55000000000000004">
      <c r="B235" s="44" t="s">
        <v>247</v>
      </c>
      <c r="C235" s="28"/>
      <c r="D235" s="27" t="s">
        <v>248</v>
      </c>
      <c r="E235" s="26"/>
      <c r="F235" s="26"/>
      <c r="G235" s="28"/>
      <c r="H235" s="27" t="s">
        <v>253</v>
      </c>
      <c r="I235" s="26"/>
      <c r="J235" s="28"/>
      <c r="K235" s="27" t="s">
        <v>254</v>
      </c>
      <c r="L235" s="26"/>
      <c r="M235" s="28"/>
      <c r="N235" s="29" t="s">
        <v>255</v>
      </c>
      <c r="O235" s="26"/>
      <c r="P235" s="26"/>
      <c r="Q235" s="26"/>
      <c r="R235" s="26"/>
    </row>
    <row r="236" spans="2:18" ht="30" customHeight="1" x14ac:dyDescent="0.55000000000000004">
      <c r="B236" s="30"/>
      <c r="C236" s="31"/>
      <c r="D236" s="45"/>
      <c r="E236" s="46"/>
      <c r="F236" s="46"/>
      <c r="G236" s="47"/>
      <c r="H236" s="48"/>
      <c r="I236" s="24"/>
      <c r="J236" s="31"/>
      <c r="K236" s="32"/>
      <c r="L236" s="24"/>
      <c r="M236" s="31"/>
      <c r="N236" s="33"/>
      <c r="O236" s="24"/>
      <c r="P236" s="24"/>
      <c r="Q236" s="24"/>
      <c r="R236" s="24"/>
    </row>
    <row r="237" spans="2:18" ht="19.95" customHeight="1" x14ac:dyDescent="0.55000000000000004">
      <c r="B237" s="6"/>
      <c r="C237" s="6"/>
      <c r="D237" s="6"/>
      <c r="E237" s="6"/>
      <c r="F237" s="6"/>
      <c r="G237" s="6"/>
      <c r="H237" s="6"/>
      <c r="I237" s="6"/>
      <c r="J237" s="7"/>
      <c r="K237" s="7"/>
      <c r="L237" s="7"/>
      <c r="M237" s="7"/>
      <c r="N237" s="7"/>
      <c r="O237" s="7"/>
      <c r="P237" s="7"/>
      <c r="Q237" s="7"/>
      <c r="R237" s="7"/>
    </row>
    <row r="238" spans="2:18" ht="28.1" customHeight="1" x14ac:dyDescent="0.55000000000000004">
      <c r="B238" s="49" t="s">
        <v>256</v>
      </c>
      <c r="C238" s="34"/>
      <c r="D238" s="34"/>
      <c r="E238" s="34"/>
      <c r="F238" s="34"/>
      <c r="G238" s="34"/>
      <c r="H238" s="34"/>
      <c r="I238" s="34"/>
      <c r="J238" s="34"/>
      <c r="K238" s="34"/>
      <c r="L238" s="34"/>
      <c r="M238" s="34"/>
      <c r="N238" s="34"/>
      <c r="O238" s="34"/>
      <c r="P238" s="34"/>
      <c r="Q238" s="34"/>
      <c r="R238" s="34"/>
    </row>
    <row r="239" spans="2:18" ht="28.1" customHeight="1" x14ac:dyDescent="0.55000000000000004">
      <c r="B239" s="23" t="s">
        <v>257</v>
      </c>
      <c r="C239" s="24"/>
      <c r="D239" s="24"/>
      <c r="E239" s="24"/>
      <c r="F239" s="24"/>
      <c r="G239" s="24"/>
      <c r="H239" s="24"/>
      <c r="I239" s="24"/>
      <c r="J239" s="24"/>
      <c r="K239" s="24"/>
      <c r="L239" s="24"/>
      <c r="M239" s="24"/>
      <c r="N239" s="24"/>
      <c r="O239" s="24"/>
      <c r="P239" s="24"/>
      <c r="Q239" s="24"/>
      <c r="R239" s="24"/>
    </row>
    <row r="240" spans="2:18" ht="46.85" customHeight="1" x14ac:dyDescent="0.55000000000000004">
      <c r="B240" s="21" t="s">
        <v>258</v>
      </c>
      <c r="C240" s="50" t="s">
        <v>259</v>
      </c>
      <c r="D240" s="28"/>
      <c r="E240" s="51" t="s">
        <v>260</v>
      </c>
      <c r="F240" s="28"/>
      <c r="G240" s="51" t="s">
        <v>261</v>
      </c>
      <c r="H240" s="26"/>
      <c r="I240" s="28"/>
      <c r="J240" s="20" t="s">
        <v>262</v>
      </c>
      <c r="K240" s="20" t="s">
        <v>263</v>
      </c>
      <c r="L240" s="50" t="s">
        <v>264</v>
      </c>
      <c r="M240" s="28"/>
      <c r="N240" s="22" t="s">
        <v>265</v>
      </c>
      <c r="O240" s="52" t="s">
        <v>266</v>
      </c>
      <c r="P240" s="37"/>
      <c r="Q240" s="53" t="s">
        <v>267</v>
      </c>
      <c r="R240" s="24"/>
    </row>
    <row r="241" spans="2:18" ht="28.1" customHeight="1" x14ac:dyDescent="0.55000000000000004">
      <c r="B241" s="54"/>
      <c r="C241" s="55" t="s">
        <v>268</v>
      </c>
      <c r="D241" s="56"/>
      <c r="E241" s="58" t="s">
        <v>269</v>
      </c>
      <c r="F241" s="31"/>
      <c r="G241" s="59"/>
      <c r="H241" s="24"/>
      <c r="I241" s="31"/>
      <c r="J241" s="5"/>
      <c r="K241" s="10"/>
      <c r="L241" s="59"/>
      <c r="M241" s="31"/>
      <c r="N241" s="10"/>
      <c r="O241" s="59"/>
      <c r="P241" s="31"/>
      <c r="Q241" s="60"/>
      <c r="R241" s="61"/>
    </row>
    <row r="242" spans="2:18" ht="28.1" customHeight="1" x14ac:dyDescent="0.55000000000000004">
      <c r="B242" s="28"/>
      <c r="C242" s="57"/>
      <c r="D242" s="28"/>
      <c r="E242" s="58" t="s">
        <v>270</v>
      </c>
      <c r="F242" s="31"/>
      <c r="G242" s="59"/>
      <c r="H242" s="24"/>
      <c r="I242" s="31"/>
      <c r="J242" s="5"/>
      <c r="K242" s="10"/>
      <c r="L242" s="59"/>
      <c r="M242" s="31"/>
      <c r="N242" s="10"/>
      <c r="O242" s="59"/>
      <c r="P242" s="31"/>
      <c r="Q242" s="57"/>
      <c r="R242" s="26"/>
    </row>
    <row r="243" spans="2:18" ht="4.95" customHeight="1" x14ac:dyDescent="0.55000000000000004">
      <c r="B243" s="4"/>
      <c r="C243" s="4"/>
      <c r="D243" s="4"/>
      <c r="E243" s="4"/>
      <c r="F243" s="4"/>
      <c r="G243" s="4"/>
      <c r="H243" s="4"/>
      <c r="I243" s="4"/>
      <c r="J243" s="4"/>
      <c r="K243" s="4"/>
      <c r="L243" s="4"/>
      <c r="M243" s="4"/>
      <c r="N243" s="4"/>
      <c r="O243" s="4"/>
      <c r="P243" s="4"/>
      <c r="Q243" s="4"/>
      <c r="R243" s="4"/>
    </row>
    <row r="244" spans="2:18" ht="28.1" customHeight="1" x14ac:dyDescent="0.55000000000000004">
      <c r="B244" s="23" t="s">
        <v>271</v>
      </c>
      <c r="C244" s="24"/>
      <c r="D244" s="24"/>
      <c r="E244" s="24"/>
      <c r="F244" s="24"/>
      <c r="G244" s="24"/>
      <c r="H244" s="24"/>
      <c r="I244" s="24"/>
      <c r="J244" s="24"/>
      <c r="K244" s="24"/>
      <c r="L244" s="24"/>
      <c r="M244" s="24"/>
      <c r="N244" s="24"/>
      <c r="O244" s="24"/>
      <c r="P244" s="24"/>
      <c r="Q244" s="24"/>
      <c r="R244" s="24"/>
    </row>
    <row r="245" spans="2:18" ht="28.1" customHeight="1" x14ac:dyDescent="0.55000000000000004">
      <c r="B245" s="62" t="s">
        <v>272</v>
      </c>
      <c r="C245" s="24"/>
      <c r="D245" s="24"/>
      <c r="E245" s="24"/>
      <c r="F245" s="24"/>
      <c r="G245" s="24"/>
      <c r="H245" s="24"/>
      <c r="I245" s="24"/>
      <c r="J245" s="24"/>
      <c r="K245" s="24"/>
      <c r="L245" s="37"/>
      <c r="M245" s="33"/>
      <c r="N245" s="24"/>
      <c r="O245" s="24"/>
      <c r="P245" s="24"/>
      <c r="Q245" s="24"/>
      <c r="R245" s="24"/>
    </row>
    <row r="246" spans="2:18" ht="28.1" customHeight="1" x14ac:dyDescent="0.55000000000000004">
      <c r="B246" s="62" t="s">
        <v>273</v>
      </c>
      <c r="C246" s="24"/>
      <c r="D246" s="24"/>
      <c r="E246" s="24"/>
      <c r="F246" s="24"/>
      <c r="G246" s="24"/>
      <c r="H246" s="24"/>
      <c r="I246" s="24"/>
      <c r="J246" s="24"/>
      <c r="K246" s="24"/>
      <c r="L246" s="37"/>
      <c r="M246" s="33"/>
      <c r="N246" s="24"/>
      <c r="O246" s="24"/>
      <c r="P246" s="24"/>
      <c r="Q246" s="24"/>
      <c r="R246" s="24"/>
    </row>
    <row r="247" spans="2:18" ht="28.1" customHeight="1" x14ac:dyDescent="0.55000000000000004">
      <c r="B247" s="62" t="s">
        <v>274</v>
      </c>
      <c r="C247" s="24"/>
      <c r="D247" s="24"/>
      <c r="E247" s="24"/>
      <c r="F247" s="24"/>
      <c r="G247" s="24"/>
      <c r="H247" s="24"/>
      <c r="I247" s="24"/>
      <c r="J247" s="24"/>
      <c r="K247" s="24"/>
      <c r="L247" s="37"/>
      <c r="M247" s="33">
        <f>M246*0.15</f>
        <v>0</v>
      </c>
      <c r="N247" s="24"/>
      <c r="O247" s="24"/>
      <c r="P247" s="24"/>
      <c r="Q247" s="24"/>
      <c r="R247" s="24"/>
    </row>
    <row r="248" spans="2:18" ht="28.1" customHeight="1" x14ac:dyDescent="0.55000000000000004">
      <c r="B248" s="62" t="s">
        <v>275</v>
      </c>
      <c r="C248" s="24"/>
      <c r="D248" s="24"/>
      <c r="E248" s="24"/>
      <c r="F248" s="24"/>
      <c r="G248" s="24"/>
      <c r="H248" s="24"/>
      <c r="I248" s="24"/>
      <c r="J248" s="24"/>
      <c r="K248" s="24"/>
      <c r="L248" s="37"/>
      <c r="M248" s="33">
        <f>M247-M245</f>
        <v>0</v>
      </c>
      <c r="N248" s="63"/>
      <c r="O248" s="63"/>
      <c r="P248" s="63"/>
      <c r="Q248" s="63"/>
      <c r="R248" s="63"/>
    </row>
    <row r="249" spans="2:18" ht="4.95" customHeight="1" x14ac:dyDescent="0.55000000000000004">
      <c r="B249" s="4"/>
      <c r="C249" s="4"/>
      <c r="D249" s="4"/>
      <c r="E249" s="4"/>
      <c r="F249" s="4"/>
      <c r="G249" s="4"/>
      <c r="H249" s="4"/>
      <c r="I249" s="4"/>
      <c r="J249" s="4"/>
      <c r="K249" s="4"/>
      <c r="L249" s="4"/>
      <c r="M249" s="4"/>
      <c r="N249" s="4"/>
      <c r="O249" s="4"/>
      <c r="P249" s="4"/>
      <c r="Q249" s="4"/>
      <c r="R249" s="4"/>
    </row>
    <row r="250" spans="2:18" ht="28.1" customHeight="1" x14ac:dyDescent="0.55000000000000004">
      <c r="B250" s="23" t="s">
        <v>276</v>
      </c>
      <c r="C250" s="24"/>
      <c r="D250" s="24"/>
      <c r="E250" s="24"/>
      <c r="F250" s="24"/>
      <c r="G250" s="24"/>
      <c r="H250" s="24"/>
      <c r="I250" s="24"/>
      <c r="J250" s="24"/>
      <c r="K250" s="24"/>
      <c r="L250" s="24"/>
      <c r="M250" s="24"/>
      <c r="N250" s="24"/>
      <c r="O250" s="24"/>
      <c r="P250" s="24"/>
      <c r="Q250" s="24"/>
      <c r="R250" s="24"/>
    </row>
    <row r="251" spans="2:18" ht="28.1" customHeight="1" x14ac:dyDescent="0.55000000000000004">
      <c r="B251" s="62" t="s">
        <v>277</v>
      </c>
      <c r="C251" s="24"/>
      <c r="D251" s="24"/>
      <c r="E251" s="24"/>
      <c r="F251" s="24"/>
      <c r="G251" s="24"/>
      <c r="H251" s="24"/>
      <c r="I251" s="24"/>
      <c r="J251" s="37"/>
      <c r="K251" s="64"/>
      <c r="L251" s="65"/>
      <c r="M251" s="65"/>
      <c r="N251" s="65"/>
      <c r="O251" s="65"/>
      <c r="P251" s="65"/>
      <c r="Q251" s="65"/>
      <c r="R251" s="65"/>
    </row>
    <row r="252" spans="2:18" ht="28.1" customHeight="1" x14ac:dyDescent="0.55000000000000004">
      <c r="B252" s="62" t="s">
        <v>278</v>
      </c>
      <c r="C252" s="24"/>
      <c r="D252" s="24"/>
      <c r="E252" s="24"/>
      <c r="F252" s="24"/>
      <c r="G252" s="24"/>
      <c r="H252" s="24"/>
      <c r="I252" s="24"/>
      <c r="J252" s="37"/>
      <c r="K252" s="63"/>
      <c r="L252" s="24"/>
      <c r="M252" s="24"/>
      <c r="N252" s="24"/>
      <c r="O252" s="24"/>
      <c r="P252" s="24"/>
      <c r="Q252" s="24"/>
      <c r="R252" s="24"/>
    </row>
    <row r="253" spans="2:18" ht="28.1" customHeight="1" x14ac:dyDescent="0.55000000000000004">
      <c r="B253" s="62" t="s">
        <v>279</v>
      </c>
      <c r="C253" s="24"/>
      <c r="D253" s="24"/>
      <c r="E253" s="24"/>
      <c r="F253" s="24"/>
      <c r="G253" s="24"/>
      <c r="H253" s="24"/>
      <c r="I253" s="24"/>
      <c r="J253" s="37"/>
      <c r="K253" s="66"/>
      <c r="L253" s="24"/>
      <c r="M253" s="24"/>
      <c r="N253" s="24"/>
      <c r="O253" s="24"/>
      <c r="P253" s="24"/>
      <c r="Q253" s="24"/>
      <c r="R253" s="24"/>
    </row>
    <row r="254" spans="2:18" ht="28.1" customHeight="1" x14ac:dyDescent="0.55000000000000004">
      <c r="B254" s="62" t="s">
        <v>280</v>
      </c>
      <c r="C254" s="24"/>
      <c r="D254" s="24"/>
      <c r="E254" s="24"/>
      <c r="F254" s="24"/>
      <c r="G254" s="24"/>
      <c r="H254" s="24"/>
      <c r="I254" s="24"/>
      <c r="J254" s="37"/>
      <c r="K254" s="63"/>
      <c r="L254" s="24"/>
      <c r="M254" s="24"/>
      <c r="N254" s="24"/>
      <c r="O254" s="24"/>
      <c r="P254" s="24"/>
      <c r="Q254" s="24"/>
      <c r="R254" s="24"/>
    </row>
    <row r="255" spans="2:18" ht="28.1" customHeight="1" x14ac:dyDescent="0.55000000000000004">
      <c r="B255" s="68" t="s">
        <v>281</v>
      </c>
      <c r="C255" s="24"/>
      <c r="D255" s="24"/>
      <c r="E255" s="24"/>
      <c r="F255" s="24"/>
      <c r="G255" s="24"/>
      <c r="H255" s="24"/>
      <c r="I255" s="24"/>
      <c r="J255" s="31"/>
      <c r="K255" s="69"/>
      <c r="L255" s="24"/>
      <c r="M255" s="24"/>
      <c r="N255" s="24"/>
      <c r="O255" s="24"/>
      <c r="P255" s="24"/>
      <c r="Q255" s="24"/>
      <c r="R255" s="24"/>
    </row>
    <row r="256" spans="2:18" ht="28.1" customHeight="1" x14ac:dyDescent="0.55000000000000004">
      <c r="B256" s="62" t="s">
        <v>282</v>
      </c>
      <c r="C256" s="70"/>
      <c r="D256" s="70"/>
      <c r="E256" s="70"/>
      <c r="F256" s="70"/>
      <c r="G256" s="70"/>
      <c r="H256" s="70"/>
      <c r="I256" s="70"/>
      <c r="J256" s="71"/>
      <c r="K256" s="50" t="s">
        <v>283</v>
      </c>
      <c r="L256" s="28"/>
      <c r="M256" s="50" t="s">
        <v>284</v>
      </c>
      <c r="N256" s="26"/>
      <c r="O256" s="26"/>
      <c r="P256" s="72" t="s">
        <v>285</v>
      </c>
      <c r="Q256" s="24"/>
      <c r="R256" s="24"/>
    </row>
    <row r="257" spans="2:18" ht="28.1" customHeight="1" x14ac:dyDescent="0.55000000000000004">
      <c r="B257" s="26"/>
      <c r="C257" s="26"/>
      <c r="D257" s="26"/>
      <c r="E257" s="26"/>
      <c r="F257" s="26"/>
      <c r="G257" s="26"/>
      <c r="H257" s="26"/>
      <c r="I257" s="26"/>
      <c r="J257" s="28"/>
      <c r="K257" s="55"/>
      <c r="L257" s="37"/>
      <c r="M257" s="55"/>
      <c r="N257" s="24"/>
      <c r="O257" s="37"/>
      <c r="P257" s="73"/>
      <c r="Q257" s="26"/>
      <c r="R257" s="26"/>
    </row>
    <row r="258" spans="2:18" ht="28.1" customHeight="1" x14ac:dyDescent="0.55000000000000004">
      <c r="B258" s="62" t="s">
        <v>286</v>
      </c>
      <c r="C258" s="24"/>
      <c r="D258" s="24"/>
      <c r="E258" s="24"/>
      <c r="F258" s="24"/>
      <c r="G258" s="24"/>
      <c r="H258" s="24"/>
      <c r="I258" s="24"/>
      <c r="J258" s="37"/>
      <c r="K258" s="67"/>
      <c r="L258" s="24"/>
      <c r="M258" s="24"/>
      <c r="N258" s="24"/>
      <c r="O258" s="24"/>
      <c r="P258" s="24"/>
      <c r="Q258" s="24"/>
      <c r="R258" s="24"/>
    </row>
    <row r="259" spans="2:18" ht="28.1" customHeight="1" x14ac:dyDescent="0.55000000000000004">
      <c r="B259" s="62" t="s">
        <v>287</v>
      </c>
      <c r="C259" s="24"/>
      <c r="D259" s="24"/>
      <c r="E259" s="24"/>
      <c r="F259" s="24"/>
      <c r="G259" s="24"/>
      <c r="H259" s="24"/>
      <c r="I259" s="24"/>
      <c r="J259" s="37"/>
      <c r="K259" s="67"/>
      <c r="L259" s="24"/>
      <c r="M259" s="24"/>
      <c r="N259" s="24"/>
      <c r="O259" s="24"/>
      <c r="P259" s="24"/>
      <c r="Q259" s="24"/>
      <c r="R259" s="24"/>
    </row>
  </sheetData>
  <mergeCells count="524">
    <mergeCell ref="B258:J258"/>
    <mergeCell ref="K258:R258"/>
    <mergeCell ref="B259:J259"/>
    <mergeCell ref="K259:R259"/>
    <mergeCell ref="B255:J255"/>
    <mergeCell ref="K255:R255"/>
    <mergeCell ref="B256:J257"/>
    <mergeCell ref="K256:L256"/>
    <mergeCell ref="M256:O256"/>
    <mergeCell ref="P256:R256"/>
    <mergeCell ref="K257:L257"/>
    <mergeCell ref="M257:O257"/>
    <mergeCell ref="P257:R257"/>
    <mergeCell ref="B250:R250"/>
    <mergeCell ref="B251:J251"/>
    <mergeCell ref="K251:R251"/>
    <mergeCell ref="B252:J252"/>
    <mergeCell ref="K252:R252"/>
    <mergeCell ref="B253:J253"/>
    <mergeCell ref="K253:R253"/>
    <mergeCell ref="B254:J254"/>
    <mergeCell ref="K254:R254"/>
    <mergeCell ref="B244:R244"/>
    <mergeCell ref="B245:L245"/>
    <mergeCell ref="M245:R245"/>
    <mergeCell ref="B246:L246"/>
    <mergeCell ref="M246:R246"/>
    <mergeCell ref="B247:L247"/>
    <mergeCell ref="M247:R247"/>
    <mergeCell ref="B248:L248"/>
    <mergeCell ref="M248:R248"/>
    <mergeCell ref="B238:R238"/>
    <mergeCell ref="B239:R239"/>
    <mergeCell ref="C240:D240"/>
    <mergeCell ref="E240:F240"/>
    <mergeCell ref="G240:I240"/>
    <mergeCell ref="L240:M240"/>
    <mergeCell ref="O240:P240"/>
    <mergeCell ref="Q240:R240"/>
    <mergeCell ref="B241:B242"/>
    <mergeCell ref="C241:D242"/>
    <mergeCell ref="E241:F241"/>
    <mergeCell ref="G241:I241"/>
    <mergeCell ref="L241:M241"/>
    <mergeCell ref="O241:P241"/>
    <mergeCell ref="Q241:R242"/>
    <mergeCell ref="E242:F242"/>
    <mergeCell ref="G242:I242"/>
    <mergeCell ref="L242:M242"/>
    <mergeCell ref="O242:P242"/>
    <mergeCell ref="B234:R234"/>
    <mergeCell ref="B235:C235"/>
    <mergeCell ref="D235:G235"/>
    <mergeCell ref="H235:J235"/>
    <mergeCell ref="K235:M235"/>
    <mergeCell ref="N235:R235"/>
    <mergeCell ref="B236:C236"/>
    <mergeCell ref="D236:G236"/>
    <mergeCell ref="H236:J236"/>
    <mergeCell ref="K236:M236"/>
    <mergeCell ref="N236:R236"/>
    <mergeCell ref="B230:R230"/>
    <mergeCell ref="B231:C231"/>
    <mergeCell ref="D231:G231"/>
    <mergeCell ref="H231:J231"/>
    <mergeCell ref="K231:M231"/>
    <mergeCell ref="N231:R231"/>
    <mergeCell ref="B232:C232"/>
    <mergeCell ref="D232:G232"/>
    <mergeCell ref="H232:J232"/>
    <mergeCell ref="K232:M232"/>
    <mergeCell ref="N232:R232"/>
    <mergeCell ref="B227:C227"/>
    <mergeCell ref="D227:G227"/>
    <mergeCell ref="H227:J227"/>
    <mergeCell ref="K227:M227"/>
    <mergeCell ref="N227:R227"/>
    <mergeCell ref="B228:C228"/>
    <mergeCell ref="D228:G228"/>
    <mergeCell ref="H228:J228"/>
    <mergeCell ref="K228:M228"/>
    <mergeCell ref="N228:R228"/>
    <mergeCell ref="C222:E222"/>
    <mergeCell ref="F222:H222"/>
    <mergeCell ref="I222:K222"/>
    <mergeCell ref="L222:O222"/>
    <mergeCell ref="P222:R222"/>
    <mergeCell ref="B224:R224"/>
    <mergeCell ref="B225:R225"/>
    <mergeCell ref="B226:G226"/>
    <mergeCell ref="H226:M226"/>
    <mergeCell ref="N226:R226"/>
    <mergeCell ref="B217:M217"/>
    <mergeCell ref="N217:R217"/>
    <mergeCell ref="B219:R219"/>
    <mergeCell ref="B220:R220"/>
    <mergeCell ref="C221:E221"/>
    <mergeCell ref="F221:H221"/>
    <mergeCell ref="I221:K221"/>
    <mergeCell ref="L221:O221"/>
    <mergeCell ref="P221:R221"/>
    <mergeCell ref="O8:R22"/>
    <mergeCell ref="B212:R212"/>
    <mergeCell ref="B213:R213"/>
    <mergeCell ref="B214:M214"/>
    <mergeCell ref="N214:R214"/>
    <mergeCell ref="B215:M215"/>
    <mergeCell ref="N215:R215"/>
    <mergeCell ref="B216:M216"/>
    <mergeCell ref="N216:R216"/>
    <mergeCell ref="B210:F210"/>
    <mergeCell ref="G210:L210"/>
    <mergeCell ref="M210:R210"/>
    <mergeCell ref="C206:E206"/>
    <mergeCell ref="F206:H206"/>
    <mergeCell ref="I206:J206"/>
    <mergeCell ref="K206:L206"/>
    <mergeCell ref="M206:O206"/>
    <mergeCell ref="P206:R206"/>
    <mergeCell ref="B208:R208"/>
    <mergeCell ref="B209:F209"/>
    <mergeCell ref="G209:L209"/>
    <mergeCell ref="M209:R209"/>
    <mergeCell ref="C204:E204"/>
    <mergeCell ref="F204:H204"/>
    <mergeCell ref="I204:J204"/>
    <mergeCell ref="K204:L204"/>
    <mergeCell ref="M204:O204"/>
    <mergeCell ref="P204:R204"/>
    <mergeCell ref="C205:E205"/>
    <mergeCell ref="F205:H205"/>
    <mergeCell ref="I205:J205"/>
    <mergeCell ref="K205:L205"/>
    <mergeCell ref="M205:O205"/>
    <mergeCell ref="P205:R205"/>
    <mergeCell ref="C202:E202"/>
    <mergeCell ref="F202:H202"/>
    <mergeCell ref="I202:J202"/>
    <mergeCell ref="K202:L202"/>
    <mergeCell ref="M202:O202"/>
    <mergeCell ref="P202:R202"/>
    <mergeCell ref="C203:E203"/>
    <mergeCell ref="F203:H203"/>
    <mergeCell ref="I203:J203"/>
    <mergeCell ref="K203:L203"/>
    <mergeCell ref="M203:O203"/>
    <mergeCell ref="P203:R203"/>
    <mergeCell ref="B193:N193"/>
    <mergeCell ref="O193:R193"/>
    <mergeCell ref="B194:N194"/>
    <mergeCell ref="O194:R194"/>
    <mergeCell ref="B196:R196"/>
    <mergeCell ref="B197:N197"/>
    <mergeCell ref="O197:R197"/>
    <mergeCell ref="B199:R199"/>
    <mergeCell ref="B200:B201"/>
    <mergeCell ref="C200:E201"/>
    <mergeCell ref="F200:O200"/>
    <mergeCell ref="P200:R201"/>
    <mergeCell ref="F201:H201"/>
    <mergeCell ref="I201:J201"/>
    <mergeCell ref="K201:L201"/>
    <mergeCell ref="M201:O201"/>
    <mergeCell ref="B187:L187"/>
    <mergeCell ref="M187:O187"/>
    <mergeCell ref="P187:R187"/>
    <mergeCell ref="B189:R189"/>
    <mergeCell ref="B190:N190"/>
    <mergeCell ref="O190:R190"/>
    <mergeCell ref="B191:N191"/>
    <mergeCell ref="O191:R191"/>
    <mergeCell ref="B192:N192"/>
    <mergeCell ref="O192:R192"/>
    <mergeCell ref="B183:L183"/>
    <mergeCell ref="M183:O183"/>
    <mergeCell ref="P183:R183"/>
    <mergeCell ref="B184:L184"/>
    <mergeCell ref="M184:O184"/>
    <mergeCell ref="P184:R184"/>
    <mergeCell ref="B186:L186"/>
    <mergeCell ref="M186:O186"/>
    <mergeCell ref="P186:R186"/>
    <mergeCell ref="B180:L180"/>
    <mergeCell ref="M180:O180"/>
    <mergeCell ref="P180:R180"/>
    <mergeCell ref="B181:L181"/>
    <mergeCell ref="M181:O181"/>
    <mergeCell ref="P181:R181"/>
    <mergeCell ref="B182:L182"/>
    <mergeCell ref="M182:O182"/>
    <mergeCell ref="P182:R182"/>
    <mergeCell ref="B174:L174"/>
    <mergeCell ref="M174:R174"/>
    <mergeCell ref="B175:L175"/>
    <mergeCell ref="M175:R175"/>
    <mergeCell ref="B176:L176"/>
    <mergeCell ref="M176:R176"/>
    <mergeCell ref="B177:L177"/>
    <mergeCell ref="M177:R177"/>
    <mergeCell ref="B179:L179"/>
    <mergeCell ref="M179:O179"/>
    <mergeCell ref="P179:R179"/>
    <mergeCell ref="B168:C168"/>
    <mergeCell ref="D168:G168"/>
    <mergeCell ref="H168:J168"/>
    <mergeCell ref="K168:M168"/>
    <mergeCell ref="N168:R168"/>
    <mergeCell ref="B170:R170"/>
    <mergeCell ref="B171:R171"/>
    <mergeCell ref="B172:R172"/>
    <mergeCell ref="B173:L173"/>
    <mergeCell ref="M173:R173"/>
    <mergeCell ref="B166:C166"/>
    <mergeCell ref="D166:G166"/>
    <mergeCell ref="H166:J166"/>
    <mergeCell ref="K166:M166"/>
    <mergeCell ref="N166:R166"/>
    <mergeCell ref="B167:C167"/>
    <mergeCell ref="D167:G167"/>
    <mergeCell ref="H167:J167"/>
    <mergeCell ref="K167:M167"/>
    <mergeCell ref="N167:R167"/>
    <mergeCell ref="B164:C164"/>
    <mergeCell ref="D164:G164"/>
    <mergeCell ref="H164:J164"/>
    <mergeCell ref="K164:M164"/>
    <mergeCell ref="N164:R164"/>
    <mergeCell ref="B165:C165"/>
    <mergeCell ref="D165:G165"/>
    <mergeCell ref="H165:J165"/>
    <mergeCell ref="K165:M165"/>
    <mergeCell ref="N165:R165"/>
    <mergeCell ref="B161:R161"/>
    <mergeCell ref="B162:C162"/>
    <mergeCell ref="D162:G162"/>
    <mergeCell ref="H162:J162"/>
    <mergeCell ref="K162:M162"/>
    <mergeCell ref="N162:R162"/>
    <mergeCell ref="B163:C163"/>
    <mergeCell ref="D163:G163"/>
    <mergeCell ref="H163:J163"/>
    <mergeCell ref="K163:M163"/>
    <mergeCell ref="N163:R163"/>
    <mergeCell ref="B155:J155"/>
    <mergeCell ref="K155:R155"/>
    <mergeCell ref="B157:R157"/>
    <mergeCell ref="B158:E158"/>
    <mergeCell ref="F158:J158"/>
    <mergeCell ref="K158:N158"/>
    <mergeCell ref="O158:R158"/>
    <mergeCell ref="B159:E159"/>
    <mergeCell ref="F159:J159"/>
    <mergeCell ref="K159:N159"/>
    <mergeCell ref="O159:R159"/>
    <mergeCell ref="B148:I148"/>
    <mergeCell ref="J148:M148"/>
    <mergeCell ref="N148:R148"/>
    <mergeCell ref="B150:R150"/>
    <mergeCell ref="B151:R151"/>
    <mergeCell ref="B152:R152"/>
    <mergeCell ref="B153:R153"/>
    <mergeCell ref="B154:J154"/>
    <mergeCell ref="K154:R154"/>
    <mergeCell ref="B145:I145"/>
    <mergeCell ref="J145:M145"/>
    <mergeCell ref="N145:R145"/>
    <mergeCell ref="B146:I146"/>
    <mergeCell ref="J146:M146"/>
    <mergeCell ref="N146:R146"/>
    <mergeCell ref="B147:I147"/>
    <mergeCell ref="J147:M147"/>
    <mergeCell ref="N147:R147"/>
    <mergeCell ref="B139:R139"/>
    <mergeCell ref="B140:R140"/>
    <mergeCell ref="B141:N141"/>
    <mergeCell ref="O141:R141"/>
    <mergeCell ref="B142:N142"/>
    <mergeCell ref="O142:R142"/>
    <mergeCell ref="B143:N143"/>
    <mergeCell ref="O143:R143"/>
    <mergeCell ref="B144:R144"/>
    <mergeCell ref="B135:E135"/>
    <mergeCell ref="F135:L135"/>
    <mergeCell ref="M135:R135"/>
    <mergeCell ref="B136:E136"/>
    <mergeCell ref="F136:L136"/>
    <mergeCell ref="M136:R136"/>
    <mergeCell ref="B137:E137"/>
    <mergeCell ref="F137:L137"/>
    <mergeCell ref="M137:R137"/>
    <mergeCell ref="B131:R131"/>
    <mergeCell ref="B132:E132"/>
    <mergeCell ref="F132:L132"/>
    <mergeCell ref="M132:R132"/>
    <mergeCell ref="B133:E133"/>
    <mergeCell ref="F133:L133"/>
    <mergeCell ref="M133:R133"/>
    <mergeCell ref="B134:E134"/>
    <mergeCell ref="F134:L134"/>
    <mergeCell ref="M134:R134"/>
    <mergeCell ref="B125:N125"/>
    <mergeCell ref="O125:R125"/>
    <mergeCell ref="B126:N126"/>
    <mergeCell ref="O126:R126"/>
    <mergeCell ref="B127:N127"/>
    <mergeCell ref="O127:R127"/>
    <mergeCell ref="B128:N128"/>
    <mergeCell ref="O128:R128"/>
    <mergeCell ref="B129:N129"/>
    <mergeCell ref="O129:R129"/>
    <mergeCell ref="B120:N120"/>
    <mergeCell ref="O120:R120"/>
    <mergeCell ref="B121:N121"/>
    <mergeCell ref="O121:R121"/>
    <mergeCell ref="B122:N122"/>
    <mergeCell ref="O122:R122"/>
    <mergeCell ref="B123:N123"/>
    <mergeCell ref="O123:R123"/>
    <mergeCell ref="B124:N124"/>
    <mergeCell ref="O124:R124"/>
    <mergeCell ref="B115:N115"/>
    <mergeCell ref="O115:R115"/>
    <mergeCell ref="B116:N116"/>
    <mergeCell ref="O116:R116"/>
    <mergeCell ref="B117:N117"/>
    <mergeCell ref="O117:R117"/>
    <mergeCell ref="B118:N118"/>
    <mergeCell ref="O118:R118"/>
    <mergeCell ref="B119:N119"/>
    <mergeCell ref="O119:R119"/>
    <mergeCell ref="B109:N109"/>
    <mergeCell ref="O109:R109"/>
    <mergeCell ref="B111:R111"/>
    <mergeCell ref="B112:N112"/>
    <mergeCell ref="O112:R112"/>
    <mergeCell ref="B113:N113"/>
    <mergeCell ref="O113:R113"/>
    <mergeCell ref="B114:N114"/>
    <mergeCell ref="O114:R114"/>
    <mergeCell ref="B105:N105"/>
    <mergeCell ref="O105:R105"/>
    <mergeCell ref="B106:D108"/>
    <mergeCell ref="E106:N106"/>
    <mergeCell ref="O106:R106"/>
    <mergeCell ref="E107:N107"/>
    <mergeCell ref="O107:R107"/>
    <mergeCell ref="E108:N108"/>
    <mergeCell ref="O108:R108"/>
    <mergeCell ref="B96:I96"/>
    <mergeCell ref="J96:R96"/>
    <mergeCell ref="B98:R98"/>
    <mergeCell ref="B99:R99"/>
    <mergeCell ref="B100:R100"/>
    <mergeCell ref="B101:D104"/>
    <mergeCell ref="E101:N101"/>
    <mergeCell ref="O101:R101"/>
    <mergeCell ref="E102:N102"/>
    <mergeCell ref="O102:R102"/>
    <mergeCell ref="E103:N103"/>
    <mergeCell ref="O103:R103"/>
    <mergeCell ref="E104:N104"/>
    <mergeCell ref="O104:R104"/>
    <mergeCell ref="B93:D93"/>
    <mergeCell ref="E93:I93"/>
    <mergeCell ref="J93:R93"/>
    <mergeCell ref="B94:D94"/>
    <mergeCell ref="E94:I94"/>
    <mergeCell ref="J94:R94"/>
    <mergeCell ref="B95:D95"/>
    <mergeCell ref="E95:I95"/>
    <mergeCell ref="J95:R95"/>
    <mergeCell ref="B87:N87"/>
    <mergeCell ref="O87:R87"/>
    <mergeCell ref="B88:N88"/>
    <mergeCell ref="O88:R88"/>
    <mergeCell ref="B89:N89"/>
    <mergeCell ref="O89:R89"/>
    <mergeCell ref="B90:N90"/>
    <mergeCell ref="O90:R90"/>
    <mergeCell ref="B92:R92"/>
    <mergeCell ref="B81:N81"/>
    <mergeCell ref="O81:R81"/>
    <mergeCell ref="B82:N82"/>
    <mergeCell ref="O82:R82"/>
    <mergeCell ref="B83:N83"/>
    <mergeCell ref="O83:R83"/>
    <mergeCell ref="B84:N84"/>
    <mergeCell ref="O84:R84"/>
    <mergeCell ref="B86:R86"/>
    <mergeCell ref="B76:N76"/>
    <mergeCell ref="O76:R76"/>
    <mergeCell ref="B77:N77"/>
    <mergeCell ref="O77:R77"/>
    <mergeCell ref="B78:N78"/>
    <mergeCell ref="O78:R78"/>
    <mergeCell ref="B79:N79"/>
    <mergeCell ref="O79:R79"/>
    <mergeCell ref="B80:N80"/>
    <mergeCell ref="O80:R80"/>
    <mergeCell ref="B71:N71"/>
    <mergeCell ref="O71:R71"/>
    <mergeCell ref="B72:N72"/>
    <mergeCell ref="O72:R72"/>
    <mergeCell ref="B73:N73"/>
    <mergeCell ref="O73:R73"/>
    <mergeCell ref="B74:N74"/>
    <mergeCell ref="O74:R74"/>
    <mergeCell ref="B75:N75"/>
    <mergeCell ref="O75:R75"/>
    <mergeCell ref="B66:N66"/>
    <mergeCell ref="O66:R66"/>
    <mergeCell ref="B67:N67"/>
    <mergeCell ref="O67:R67"/>
    <mergeCell ref="B68:N68"/>
    <mergeCell ref="O68:R68"/>
    <mergeCell ref="B69:N69"/>
    <mergeCell ref="O69:R69"/>
    <mergeCell ref="B70:N70"/>
    <mergeCell ref="O70:R70"/>
    <mergeCell ref="B60:R60"/>
    <mergeCell ref="B61:R61"/>
    <mergeCell ref="B62:N62"/>
    <mergeCell ref="O62:R62"/>
    <mergeCell ref="B63:N63"/>
    <mergeCell ref="O63:R63"/>
    <mergeCell ref="B64:N64"/>
    <mergeCell ref="O64:R64"/>
    <mergeCell ref="B65:N65"/>
    <mergeCell ref="O65:R65"/>
    <mergeCell ref="B54:N54"/>
    <mergeCell ref="O54:R54"/>
    <mergeCell ref="B55:N55"/>
    <mergeCell ref="O55:R55"/>
    <mergeCell ref="B56:N56"/>
    <mergeCell ref="O56:R56"/>
    <mergeCell ref="B57:N57"/>
    <mergeCell ref="O57:R57"/>
    <mergeCell ref="B58:N58"/>
    <mergeCell ref="O58:R58"/>
    <mergeCell ref="B49:N49"/>
    <mergeCell ref="O49:R49"/>
    <mergeCell ref="B50:N50"/>
    <mergeCell ref="O50:R50"/>
    <mergeCell ref="B51:N51"/>
    <mergeCell ref="O51:R51"/>
    <mergeCell ref="B52:N52"/>
    <mergeCell ref="O52:R52"/>
    <mergeCell ref="B53:N53"/>
    <mergeCell ref="O53:R53"/>
    <mergeCell ref="B44:N44"/>
    <mergeCell ref="O44:R44"/>
    <mergeCell ref="B45:N45"/>
    <mergeCell ref="O45:R45"/>
    <mergeCell ref="B46:N46"/>
    <mergeCell ref="O46:R46"/>
    <mergeCell ref="B47:N47"/>
    <mergeCell ref="O47:R47"/>
    <mergeCell ref="B48:N48"/>
    <mergeCell ref="O48:R48"/>
    <mergeCell ref="B39:N39"/>
    <mergeCell ref="O39:R39"/>
    <mergeCell ref="B40:N40"/>
    <mergeCell ref="O40:R40"/>
    <mergeCell ref="B41:N41"/>
    <mergeCell ref="O41:R41"/>
    <mergeCell ref="B42:N42"/>
    <mergeCell ref="O42:R42"/>
    <mergeCell ref="B43:N43"/>
    <mergeCell ref="O43:R43"/>
    <mergeCell ref="B34:N34"/>
    <mergeCell ref="O34:R34"/>
    <mergeCell ref="B35:N35"/>
    <mergeCell ref="O35:R35"/>
    <mergeCell ref="B36:N36"/>
    <mergeCell ref="O36:R36"/>
    <mergeCell ref="B37:N37"/>
    <mergeCell ref="O37:R37"/>
    <mergeCell ref="B38:N38"/>
    <mergeCell ref="O38:R38"/>
    <mergeCell ref="B29:R29"/>
    <mergeCell ref="B30:N30"/>
    <mergeCell ref="O30:R30"/>
    <mergeCell ref="B31:N31"/>
    <mergeCell ref="O31:R31"/>
    <mergeCell ref="B32:N32"/>
    <mergeCell ref="O32:R32"/>
    <mergeCell ref="B33:N33"/>
    <mergeCell ref="O33:R33"/>
    <mergeCell ref="B24:R24"/>
    <mergeCell ref="B25:R25"/>
    <mergeCell ref="B26:D26"/>
    <mergeCell ref="E26:H26"/>
    <mergeCell ref="I26:K26"/>
    <mergeCell ref="L26:N26"/>
    <mergeCell ref="O26:R26"/>
    <mergeCell ref="B27:D27"/>
    <mergeCell ref="E27:H27"/>
    <mergeCell ref="I27:K27"/>
    <mergeCell ref="L27:N27"/>
    <mergeCell ref="O27:R27"/>
    <mergeCell ref="B8:N8"/>
    <mergeCell ref="B9:N9"/>
    <mergeCell ref="B10:N10"/>
    <mergeCell ref="B11:N11"/>
    <mergeCell ref="B12:N12"/>
    <mergeCell ref="B13:N13"/>
    <mergeCell ref="B14:N14"/>
    <mergeCell ref="B15:N15"/>
    <mergeCell ref="B16:N16"/>
    <mergeCell ref="B17:N17"/>
    <mergeCell ref="B18:N18"/>
    <mergeCell ref="B19:N19"/>
    <mergeCell ref="B20:N20"/>
    <mergeCell ref="B21:N21"/>
    <mergeCell ref="B22:N22"/>
    <mergeCell ref="B2:R2"/>
    <mergeCell ref="B3:R3"/>
    <mergeCell ref="B4:R4"/>
    <mergeCell ref="B5:N5"/>
    <mergeCell ref="O5:R5"/>
    <mergeCell ref="B6:N6"/>
    <mergeCell ref="O6:R6"/>
    <mergeCell ref="B7:N7"/>
    <mergeCell ref="O7:R7"/>
  </mergeCells>
  <phoneticPr fontId="2" type="noConversion"/>
  <dataValidations disablePrompts="1" count="2">
    <dataValidation type="list" allowBlank="1" showInputMessage="1" showErrorMessage="1" sqref="O197:R197" xr:uid="{00000000-0002-0000-0100-000000000000}">
      <formula1>"□,■"</formula1>
    </dataValidation>
    <dataValidation type="list" allowBlank="1" showInputMessage="1" showErrorMessage="1" sqref="M174:R177 K258:R259" xr:uid="{00000000-0002-0000-0100-000001000000}">
      <formula1>"여,부"</formula1>
    </dataValidation>
  </dataValidations>
  <pageMargins left="0.59055118110236227" right="0.59055118110236227" top="0.59055118110236227" bottom="0.59055118110236227" header="0.31496062992125978" footer="0.31496062992125978"/>
  <pageSetup paperSize="9" fitToHeight="0" orientation="landscape" r:id="rId1"/>
  <legacy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C00-000000000000}">
  <dimension ref="A1:B14"/>
  <sheetViews>
    <sheetView workbookViewId="0"/>
  </sheetViews>
  <sheetFormatPr defaultRowHeight="17.600000000000001" x14ac:dyDescent="0.55000000000000004"/>
  <sheetData>
    <row r="1" spans="1:2" x14ac:dyDescent="0.55000000000000004">
      <c r="A1" t="s">
        <v>288</v>
      </c>
      <c r="B1" t="s">
        <v>289</v>
      </c>
    </row>
    <row r="2" spans="1:2" x14ac:dyDescent="0.55000000000000004">
      <c r="A2" t="s">
        <v>290</v>
      </c>
      <c r="B2" t="s">
        <v>291</v>
      </c>
    </row>
    <row r="3" spans="1:2" x14ac:dyDescent="0.55000000000000004">
      <c r="A3" t="s">
        <v>292</v>
      </c>
      <c r="B3" t="s">
        <v>293</v>
      </c>
    </row>
    <row r="4" spans="1:2" x14ac:dyDescent="0.55000000000000004">
      <c r="A4" t="s">
        <v>294</v>
      </c>
      <c r="B4" t="s">
        <v>295</v>
      </c>
    </row>
    <row r="5" spans="1:2" x14ac:dyDescent="0.55000000000000004">
      <c r="A5" t="s">
        <v>296</v>
      </c>
      <c r="B5" t="s">
        <v>297</v>
      </c>
    </row>
    <row r="6" spans="1:2" x14ac:dyDescent="0.55000000000000004">
      <c r="A6" t="s">
        <v>298</v>
      </c>
      <c r="B6" t="s">
        <v>299</v>
      </c>
    </row>
    <row r="7" spans="1:2" x14ac:dyDescent="0.55000000000000004">
      <c r="A7" t="s">
        <v>300</v>
      </c>
      <c r="B7" t="s">
        <v>301</v>
      </c>
    </row>
    <row r="8" spans="1:2" x14ac:dyDescent="0.55000000000000004">
      <c r="A8" t="s">
        <v>302</v>
      </c>
      <c r="B8">
        <v>1</v>
      </c>
    </row>
    <row r="9" spans="1:2" x14ac:dyDescent="0.55000000000000004">
      <c r="A9" t="s">
        <v>303</v>
      </c>
      <c r="B9">
        <v>1</v>
      </c>
    </row>
    <row r="10" spans="1:2" x14ac:dyDescent="0.55000000000000004">
      <c r="A10" t="s">
        <v>304</v>
      </c>
      <c r="B10">
        <v>1</v>
      </c>
    </row>
    <row r="11" spans="1:2" x14ac:dyDescent="0.55000000000000004">
      <c r="A11" t="s">
        <v>305</v>
      </c>
      <c r="B11">
        <v>1</v>
      </c>
    </row>
    <row r="12" spans="1:2" x14ac:dyDescent="0.55000000000000004">
      <c r="A12" t="s">
        <v>306</v>
      </c>
      <c r="B12">
        <v>1</v>
      </c>
    </row>
    <row r="13" spans="1:2" x14ac:dyDescent="0.55000000000000004">
      <c r="A13" t="s">
        <v>307</v>
      </c>
      <c r="B13" t="s">
        <v>308</v>
      </c>
    </row>
    <row r="14" spans="1:2" x14ac:dyDescent="0.55000000000000004">
      <c r="A14" t="s">
        <v>309</v>
      </c>
      <c r="B14" t="s">
        <v>310</v>
      </c>
    </row>
  </sheetData>
  <phoneticPr fontId="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2</vt:i4>
      </vt:variant>
    </vt:vector>
  </HeadingPairs>
  <TitlesOfParts>
    <vt:vector size="2" baseType="lpstr">
      <vt:lpstr>Group 작성요령</vt:lpstr>
      <vt:lpstr>국가별 계산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Min-Hoon Choi (KR - Tax)</dc:creator>
  <cp:lastModifiedBy>재원 김</cp:lastModifiedBy>
  <cp:lastPrinted>2026-04-02T10:06:11Z</cp:lastPrinted>
  <dcterms:created xsi:type="dcterms:W3CDTF">2024-11-04T07:57:30Z</dcterms:created>
  <dcterms:modified xsi:type="dcterms:W3CDTF">2026-04-17T04:44:11Z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0x0101004B37604AD85CD44A80D1467DB41EFD34</vt:lpwstr>
  </property>
</Properties>
</file>